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46227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46227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46227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61174-2025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46000</v>
      </c>
      <c r="E5" s="1" t="n">
        <v>46227</v>
      </c>
      <c r="F5" t="inlineStr">
        <is>
          <t>VÄSTRA GÖTALANDS LÄN</t>
        </is>
      </c>
      <c r="G5" t="inlineStr">
        <is>
          <t>LYSEKIL</t>
        </is>
      </c>
      <c r="I5" t="n">
        <v>2.8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Nordbjörnbär</t>
        </is>
      </c>
      <c r="W5">
        <f>HYPERLINK("https://klasma.github.io/Logging_1484/artfynd/A 61174-2025 artfynd.xlsx", "A 61174-2025")</f>
        <v/>
      </c>
      <c r="X5">
        <f>HYPERLINK("https://klasma.github.io/Logging_1484/kartor/A 61174-2025 karta.png", "A 61174-2025")</f>
        <v/>
      </c>
      <c r="Y5">
        <f>HYPERLINK("https://klasma.github.io/Logging_1484/kartor_geotiff/A 61174-2025 georefererad karta.tif", "A 61174-2025")</f>
        <v/>
      </c>
      <c r="AA5">
        <f>HYPERLINK("https://klasma.github.io/Logging_1484/klagomål/A 61174-2025 FSC-klagomål.docx", "A 61174-2025")</f>
        <v/>
      </c>
      <c r="AB5">
        <f>HYPERLINK("https://klasma.github.io/Logging_1484/klagomålsmail/A 61174-2025 FSC-klagomål mail.docx", "A 61174-2025")</f>
        <v/>
      </c>
      <c r="AC5">
        <f>HYPERLINK("https://klasma.github.io/Logging_1484/tillsyn/A 61174-2025 tillsynsbegäran.docx", "A 61174-2025")</f>
        <v/>
      </c>
      <c r="AD5">
        <f>HYPERLINK("https://klasma.github.io/Logging_1484/tillsynsmail/A 61174-2025 tillsynsbegäran mail.docx", "A 61174-2025")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46227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45229</v>
      </c>
      <c r="E7" s="1" t="n">
        <v>46227</v>
      </c>
      <c r="F7" t="inlineStr">
        <is>
          <t>VÄSTRA GÖTALANDS LÄN</t>
        </is>
      </c>
      <c r="G7" t="inlineStr">
        <is>
          <t>LYSEKIL</t>
        </is>
      </c>
      <c r="I7" t="n">
        <v>3.1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Huggorm</t>
        </is>
      </c>
      <c r="W7">
        <f>HYPERLINK("https://klasma.github.io/Logging_1484/artfynd/A 53422-2023 artfynd.xlsx", "A 53422-2023")</f>
        <v/>
      </c>
      <c r="X7">
        <f>HYPERLINK("https://klasma.github.io/Logging_1484/kartor/A 53422-2023 karta.png", "A 53422-2023")</f>
        <v/>
      </c>
      <c r="Y7">
        <f>HYPERLINK("https://klasma.github.io/Logging_1484/kartor_geotiff/A 53422-2023 georefererad karta.tif", "A 53422-2023")</f>
        <v/>
      </c>
      <c r="AA7">
        <f>HYPERLINK("https://klasma.github.io/Logging_1484/klagomål/A 53422-2023 FSC-klagomål.docx", "A 53422-2023")</f>
        <v/>
      </c>
      <c r="AB7">
        <f>HYPERLINK("https://klasma.github.io/Logging_1484/klagomålsmail/A 53422-2023 FSC-klagomål mail.docx", "A 53422-2023")</f>
        <v/>
      </c>
      <c r="AC7">
        <f>HYPERLINK("https://klasma.github.io/Logging_1484/tillsyn/A 53422-2023 tillsynsbegäran.docx", "A 53422-2023")</f>
        <v/>
      </c>
      <c r="AD7">
        <f>HYPERLINK("https://klasma.github.io/Logging_1484/tillsynsmail/A 53422-2023 tillsynsbegäran mail.docx", "A 53422-2023")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46227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46227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46227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46227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46227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46227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46227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46227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46227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45293</v>
      </c>
      <c r="E17" s="1" t="n">
        <v>46227</v>
      </c>
      <c r="F17" t="inlineStr">
        <is>
          <t>VÄSTRA GÖTALANDS LÄN</t>
        </is>
      </c>
      <c r="G17" t="inlineStr">
        <is>
          <t>LYSEKIL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46227</v>
      </c>
      <c r="F18" t="inlineStr">
        <is>
          <t>VÄSTRA GÖTALANDS LÄN</t>
        </is>
      </c>
      <c r="G18" t="inlineStr">
        <is>
          <t>LYSEKIL</t>
        </is>
      </c>
      <c r="I18" t="n">
        <v>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22605-2025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45789</v>
      </c>
      <c r="E19" s="1" t="n">
        <v>46227</v>
      </c>
      <c r="F19" t="inlineStr">
        <is>
          <t>VÄSTRA GÖTALANDS LÄN</t>
        </is>
      </c>
      <c r="G19" t="inlineStr">
        <is>
          <t>LYSEKIL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58619-2024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45635</v>
      </c>
      <c r="E20" s="1" t="n">
        <v>46227</v>
      </c>
      <c r="F20" t="inlineStr">
        <is>
          <t>VÄSTRA GÖTALANDS LÄN</t>
        </is>
      </c>
      <c r="G20" t="inlineStr">
        <is>
          <t>LYSEKIL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41581-2023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46227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19794-2023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45051</v>
      </c>
      <c r="E22" s="1" t="n">
        <v>46227</v>
      </c>
      <c r="F22" t="inlineStr">
        <is>
          <t>VÄSTRA GÖTALANDS LÄN</t>
        </is>
      </c>
      <c r="G22" t="inlineStr">
        <is>
          <t>LYSEKIL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63886-2023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45278</v>
      </c>
      <c r="E23" s="1" t="n">
        <v>46227</v>
      </c>
      <c r="F23" t="inlineStr">
        <is>
          <t>VÄSTRA GÖTALANDS LÄN</t>
        </is>
      </c>
      <c r="G23" t="inlineStr">
        <is>
          <t>LYSEKIL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46227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40683-2025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45896</v>
      </c>
      <c r="E25" s="1" t="n">
        <v>46227</v>
      </c>
      <c r="F25" t="inlineStr">
        <is>
          <t>VÄSTRA GÖTALANDS LÄN</t>
        </is>
      </c>
      <c r="G25" t="inlineStr">
        <is>
          <t>LYSEKIL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54366-2025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45965</v>
      </c>
      <c r="E26" s="1" t="n">
        <v>46227</v>
      </c>
      <c r="F26" t="inlineStr">
        <is>
          <t>VÄSTRA GÖTALANDS LÄN</t>
        </is>
      </c>
      <c r="G26" t="inlineStr">
        <is>
          <t>LYSEKIL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46227</v>
      </c>
      <c r="F27" t="inlineStr">
        <is>
          <t>VÄSTRA GÖTALANDS LÄN</t>
        </is>
      </c>
      <c r="G27" t="inlineStr">
        <is>
          <t>LYSEKIL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46227</v>
      </c>
      <c r="F28" t="inlineStr">
        <is>
          <t>VÄSTRA GÖTALANDS LÄN</t>
        </is>
      </c>
      <c r="G28" t="inlineStr">
        <is>
          <t>LYSEKIL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46227</v>
      </c>
      <c r="F29" t="inlineStr">
        <is>
          <t>VÄSTRA GÖTALANDS LÄN</t>
        </is>
      </c>
      <c r="G29" t="inlineStr">
        <is>
          <t>LYSEKIL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20685-2024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45436</v>
      </c>
      <c r="E30" s="1" t="n">
        <v>46227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46227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57532-2025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46227</v>
      </c>
      <c r="F32" t="inlineStr">
        <is>
          <t>VÄSTRA GÖTALANDS LÄN</t>
        </is>
      </c>
      <c r="G32" t="inlineStr">
        <is>
          <t>LYSEKIL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57530-2025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46227</v>
      </c>
      <c r="F33" t="inlineStr">
        <is>
          <t>VÄSTRA GÖTALANDS LÄN</t>
        </is>
      </c>
      <c r="G33" t="inlineStr">
        <is>
          <t>LYSEKIL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37149-2023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46227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43151-2025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45910</v>
      </c>
      <c r="E35" s="1" t="n">
        <v>46227</v>
      </c>
      <c r="F35" t="inlineStr">
        <is>
          <t>VÄSTRA GÖTALANDS LÄN</t>
        </is>
      </c>
      <c r="G35" t="inlineStr">
        <is>
          <t>LYSEKIL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45915</v>
      </c>
      <c r="E36" s="1" t="n">
        <v>46227</v>
      </c>
      <c r="F36" t="inlineStr">
        <is>
          <t>VÄSTRA GÖTALANDS LÄN</t>
        </is>
      </c>
      <c r="G36" t="inlineStr">
        <is>
          <t>LYSEKIL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15108-2023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45016</v>
      </c>
      <c r="E37" s="1" t="n">
        <v>46227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45852</v>
      </c>
      <c r="E38" s="1" t="n">
        <v>46227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35135-2025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45852</v>
      </c>
      <c r="E39" s="1" t="n">
        <v>46227</v>
      </c>
      <c r="F39" t="inlineStr">
        <is>
          <t>VÄSTRA GÖTALANDS LÄN</t>
        </is>
      </c>
      <c r="G39" t="inlineStr">
        <is>
          <t>LYSEKIL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43028-2023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45182</v>
      </c>
      <c r="E40" s="1" t="n">
        <v>46227</v>
      </c>
      <c r="F40" t="inlineStr">
        <is>
          <t>VÄSTRA GÖTALANDS LÄN</t>
        </is>
      </c>
      <c r="G40" t="inlineStr">
        <is>
          <t>LYSEKIL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35640-2025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45859</v>
      </c>
      <c r="E41" s="1" t="n">
        <v>46227</v>
      </c>
      <c r="F41" t="inlineStr">
        <is>
          <t>VÄSTRA GÖTALANDS LÄN</t>
        </is>
      </c>
      <c r="G41" t="inlineStr">
        <is>
          <t>LYSEKIL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38036-2025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45881</v>
      </c>
      <c r="E42" s="1" t="n">
        <v>46227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46227</v>
      </c>
      <c r="F43" t="inlineStr">
        <is>
          <t>VÄSTRA GÖTALANDS LÄN</t>
        </is>
      </c>
      <c r="G43" t="inlineStr">
        <is>
          <t>LYSEKIL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46227</v>
      </c>
      <c r="F44" t="inlineStr">
        <is>
          <t>VÄSTRA GÖTALANDS LÄN</t>
        </is>
      </c>
      <c r="G44" t="inlineStr">
        <is>
          <t>LYSEKIL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46227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53423-2023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46227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46227</v>
      </c>
      <c r="F47" t="inlineStr">
        <is>
          <t>VÄSTRA GÖTALANDS LÄN</t>
        </is>
      </c>
      <c r="G47" t="inlineStr">
        <is>
          <t>LYSEKIL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46227</v>
      </c>
      <c r="F48" t="inlineStr">
        <is>
          <t>VÄSTRA GÖTALANDS LÄN</t>
        </is>
      </c>
      <c r="G48" t="inlineStr">
        <is>
          <t>LYSEKIL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46227</v>
      </c>
      <c r="F49" t="inlineStr">
        <is>
          <t>VÄSTRA GÖTALANDS LÄN</t>
        </is>
      </c>
      <c r="G49" t="inlineStr">
        <is>
          <t>LYSEKIL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46227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46227</v>
      </c>
      <c r="F51" t="inlineStr">
        <is>
          <t>VÄSTRA GÖTALANDS LÄN</t>
        </is>
      </c>
      <c r="G51" t="inlineStr">
        <is>
          <t>LYSEKIL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46227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7506-2026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46227</v>
      </c>
      <c r="F53" t="inlineStr">
        <is>
          <t>VÄSTRA GÖTALANDS LÄN</t>
        </is>
      </c>
      <c r="G53" t="inlineStr">
        <is>
          <t>LYSEKIL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8328-2026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46064</v>
      </c>
      <c r="E54" s="1" t="n">
        <v>46227</v>
      </c>
      <c r="F54" t="inlineStr">
        <is>
          <t>VÄSTRA GÖTALANDS LÄN</t>
        </is>
      </c>
      <c r="G54" t="inlineStr">
        <is>
          <t>LYSEKIL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9149-2026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46227</v>
      </c>
      <c r="F55" t="inlineStr">
        <is>
          <t>VÄSTRA GÖTALANDS LÄN</t>
        </is>
      </c>
      <c r="G55" t="inlineStr">
        <is>
          <t>LYSEKIL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46227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10217-2026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46076</v>
      </c>
      <c r="E57" s="1" t="n">
        <v>46227</v>
      </c>
      <c r="F57" t="inlineStr">
        <is>
          <t>VÄSTRA GÖTALANDS LÄN</t>
        </is>
      </c>
      <c r="G57" t="inlineStr">
        <is>
          <t>LYSEKIL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58793-2022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46227</v>
      </c>
      <c r="F58" t="inlineStr">
        <is>
          <t>VÄSTRA GÖTALANDS LÄN</t>
        </is>
      </c>
      <c r="G58" t="inlineStr">
        <is>
          <t>LYSEKIL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46227</v>
      </c>
      <c r="F59" t="inlineStr">
        <is>
          <t>VÄSTRA GÖTALANDS LÄN</t>
        </is>
      </c>
      <c r="G59" t="inlineStr">
        <is>
          <t>LYSEKIL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46086</v>
      </c>
      <c r="E60" s="1" t="n">
        <v>46227</v>
      </c>
      <c r="F60" t="inlineStr">
        <is>
          <t>VÄSTRA GÖTALANDS LÄN</t>
        </is>
      </c>
      <c r="G60" t="inlineStr">
        <is>
          <t>LYSEKIL</t>
        </is>
      </c>
      <c r="I60" t="n">
        <v>9.199999999999999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46227</v>
      </c>
      <c r="F61" t="inlineStr">
        <is>
          <t>VÄSTRA GÖTALANDS LÄN</t>
        </is>
      </c>
      <c r="G61" t="inlineStr">
        <is>
          <t>LYSEKIL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46227</v>
      </c>
      <c r="F62" t="inlineStr">
        <is>
          <t>VÄSTRA GÖTALANDS LÄN</t>
        </is>
      </c>
      <c r="G62" t="inlineStr">
        <is>
          <t>LYSEKIL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46099</v>
      </c>
      <c r="E63" s="1" t="n">
        <v>46227</v>
      </c>
      <c r="F63" t="inlineStr">
        <is>
          <t>VÄSTRA GÖTALANDS LÄN</t>
        </is>
      </c>
      <c r="G63" t="inlineStr">
        <is>
          <t>LYSEKIL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46227</v>
      </c>
      <c r="F64" t="inlineStr">
        <is>
          <t>VÄSTRA GÖTALANDS LÄN</t>
        </is>
      </c>
      <c r="G64" t="inlineStr">
        <is>
          <t>LYSEKIL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46112</v>
      </c>
      <c r="E65" s="1" t="n">
        <v>46227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46227</v>
      </c>
      <c r="F66" t="inlineStr">
        <is>
          <t>VÄSTRA GÖTALANDS LÄN</t>
        </is>
      </c>
      <c r="G66" t="inlineStr">
        <is>
          <t>LYSEKIL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25009-2023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45085</v>
      </c>
      <c r="E67" s="1" t="n">
        <v>46227</v>
      </c>
      <c r="F67" t="inlineStr">
        <is>
          <t>VÄSTRA GÖTALANDS LÄN</t>
        </is>
      </c>
      <c r="G67" t="inlineStr">
        <is>
          <t>LYSEKIL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46133</v>
      </c>
      <c r="E68" s="1" t="n">
        <v>46227</v>
      </c>
      <c r="F68" t="inlineStr">
        <is>
          <t>VÄSTRA GÖTALANDS LÄN</t>
        </is>
      </c>
      <c r="G68" t="inlineStr">
        <is>
          <t>LYSEKIL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44536-2024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46227</v>
      </c>
      <c r="F69" t="inlineStr">
        <is>
          <t>VÄSTRA GÖTALANDS LÄN</t>
        </is>
      </c>
      <c r="G69" t="inlineStr">
        <is>
          <t>LYSEKIL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45541</v>
      </c>
      <c r="E70" s="1" t="n">
        <v>46227</v>
      </c>
      <c r="F70" t="inlineStr">
        <is>
          <t>VÄSTRA GÖTALANDS LÄN</t>
        </is>
      </c>
      <c r="G70" t="inlineStr">
        <is>
          <t>LYSEKIL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45653</v>
      </c>
      <c r="E71" s="1" t="n">
        <v>46227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46227</v>
      </c>
      <c r="F72" t="inlineStr">
        <is>
          <t>VÄSTRA GÖTALANDS LÄN</t>
        </is>
      </c>
      <c r="G72" t="inlineStr">
        <is>
          <t>LYSEKIL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46227</v>
      </c>
      <c r="F73" t="inlineStr">
        <is>
          <t>VÄSTRA GÖTALANDS LÄN</t>
        </is>
      </c>
      <c r="G73" t="inlineStr">
        <is>
          <t>LYSEKIL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46227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46227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46227</v>
      </c>
      <c r="F76" t="inlineStr">
        <is>
          <t>VÄSTRA GÖTALANDS LÄN</t>
        </is>
      </c>
      <c r="G76" t="inlineStr">
        <is>
          <t>LYSEKIL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46227</v>
      </c>
      <c r="F77" t="inlineStr">
        <is>
          <t>VÄSTRA GÖTALANDS LÄN</t>
        </is>
      </c>
      <c r="G77" t="inlineStr">
        <is>
          <t>LYSEKIL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46227</v>
      </c>
      <c r="F78" t="inlineStr">
        <is>
          <t>VÄSTRA GÖTALANDS LÄN</t>
        </is>
      </c>
      <c r="G78" t="inlineStr">
        <is>
          <t>LYSEKIL</t>
        </is>
      </c>
      <c r="I78" t="n">
        <v>10.4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46227</v>
      </c>
      <c r="F79" t="inlineStr">
        <is>
          <t>VÄSTRA GÖTALANDS LÄN</t>
        </is>
      </c>
      <c r="G79" t="inlineStr">
        <is>
          <t>LYSEKIL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46227</v>
      </c>
      <c r="F80" t="inlineStr">
        <is>
          <t>VÄSTRA GÖTALANDS LÄN</t>
        </is>
      </c>
      <c r="G80" t="inlineStr">
        <is>
          <t>LYSEKIL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44899</v>
      </c>
      <c r="E81" s="1" t="n">
        <v>46227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46227</v>
      </c>
      <c r="F82" t="inlineStr">
        <is>
          <t>VÄSTRA GÖTALANDS LÄN</t>
        </is>
      </c>
      <c r="G82" t="inlineStr">
        <is>
          <t>LYSEKIL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46227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46227</v>
      </c>
      <c r="F84" t="inlineStr">
        <is>
          <t>VÄSTRA GÖTALANDS LÄN</t>
        </is>
      </c>
      <c r="G84" t="inlineStr">
        <is>
          <t>LYSEKIL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46227</v>
      </c>
      <c r="F85" t="inlineStr">
        <is>
          <t>VÄSTRA GÖTALANDS LÄN</t>
        </is>
      </c>
      <c r="G85" t="inlineStr">
        <is>
          <t>LYSEKIL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45164</v>
      </c>
      <c r="E86" s="1" t="n">
        <v>46227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44929</v>
      </c>
      <c r="E87" s="1" t="n">
        <v>46227</v>
      </c>
      <c r="F87" t="inlineStr">
        <is>
          <t>VÄSTRA GÖTALANDS LÄN</t>
        </is>
      </c>
      <c r="G87" t="inlineStr">
        <is>
          <t>LYSEKIL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44977</v>
      </c>
      <c r="E88" s="1" t="n">
        <v>46227</v>
      </c>
      <c r="F88" t="inlineStr">
        <is>
          <t>VÄSTRA GÖTALANDS LÄN</t>
        </is>
      </c>
      <c r="G88" t="inlineStr">
        <is>
          <t>LYSEKIL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46227</v>
      </c>
      <c r="F89" t="inlineStr">
        <is>
          <t>VÄSTRA GÖTALANDS LÄN</t>
        </is>
      </c>
      <c r="G89" t="inlineStr">
        <is>
          <t>LYSEKIL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45761</v>
      </c>
      <c r="E90" s="1" t="n">
        <v>46227</v>
      </c>
      <c r="F90" t="inlineStr">
        <is>
          <t>VÄSTRA GÖTALANDS LÄN</t>
        </is>
      </c>
      <c r="G90" t="inlineStr">
        <is>
          <t>LYSEKIL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46227</v>
      </c>
      <c r="F91" t="inlineStr">
        <is>
          <t>VÄSTRA GÖTALANDS LÄN</t>
        </is>
      </c>
      <c r="G91" t="inlineStr">
        <is>
          <t>LYSEKIL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46227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45319</v>
      </c>
      <c r="E93" s="1" t="n">
        <v>46227</v>
      </c>
      <c r="F93" t="inlineStr">
        <is>
          <t>VÄSTRA GÖTALANDS LÄN</t>
        </is>
      </c>
      <c r="G93" t="inlineStr">
        <is>
          <t>LYSEKIL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46227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2026-07-24T01:46:08Z</dcterms:created>
  <dcterms:modified xmlns:dcterms="http://purl.org/dc/terms/" xmlns:xsi="http://www.w3.org/2001/XMLSchema-instance" xsi:type="dcterms:W3CDTF">2026-07-24T01:46:08Z</dcterms:modified>
</cp:coreProperties>
</file>