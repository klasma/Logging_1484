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46259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46259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46259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46259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46259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46259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61174-2025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46000</v>
      </c>
      <c r="E8" s="1" t="n">
        <v>46259</v>
      </c>
      <c r="F8" t="inlineStr">
        <is>
          <t>VÄSTRA GÖTALANDS LÄN</t>
        </is>
      </c>
      <c r="G8" t="inlineStr">
        <is>
          <t>LYSEKIL</t>
        </is>
      </c>
      <c r="I8" t="n">
        <v>2.8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Nordbjörnbär</t>
        </is>
      </c>
      <c r="W8">
        <f>HYPERLINK("https://klasma.github.io/Logging_1484/artfynd/A 61174-2025 artfynd.xlsx", "A 61174-2025")</f>
        <v/>
      </c>
      <c r="X8">
        <f>HYPERLINK("https://klasma.github.io/Logging_1484/kartor/A 61174-2025 karta.png", "A 61174-2025")</f>
        <v/>
      </c>
      <c r="Y8">
        <f>HYPERLINK("https://klasma.github.io/Logging_1484/kartor_geotiff/A 61174-2025 georefererad karta.tif", "A 61174-2025")</f>
        <v/>
      </c>
      <c r="AA8">
        <f>HYPERLINK("https://klasma.github.io/Logging_1484/klagomål/A 61174-2025 FSC-klagomål.docx", "A 61174-2025")</f>
        <v/>
      </c>
      <c r="AB8">
        <f>HYPERLINK("https://klasma.github.io/Logging_1484/klagomålsmail/A 61174-2025 FSC-klagomål mail.docx", "A 61174-2025")</f>
        <v/>
      </c>
      <c r="AC8">
        <f>HYPERLINK("https://klasma.github.io/Logging_1484/tillsyn/A 61174-2025 tillsynsbegäran.docx", "A 61174-2025")</f>
        <v/>
      </c>
      <c r="AD8">
        <f>HYPERLINK("https://klasma.github.io/Logging_1484/tillsynsmail/A 61174-2025 tillsynsbegäran mail.docx", "A 61174-2025")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46259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46259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46259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46259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46259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46259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46259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20685-2024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45436</v>
      </c>
      <c r="E16" s="1" t="n">
        <v>46259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58793-2022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46259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45366</v>
      </c>
      <c r="E18" s="1" t="n">
        <v>46259</v>
      </c>
      <c r="F18" t="inlineStr">
        <is>
          <t>VÄSTRA GÖTALANDS LÄN</t>
        </is>
      </c>
      <c r="G18" t="inlineStr">
        <is>
          <t>LYSEKIL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35139-2025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45852</v>
      </c>
      <c r="E19" s="1" t="n">
        <v>46259</v>
      </c>
      <c r="F19" t="inlineStr">
        <is>
          <t>VÄSTRA GÖTALANDS LÄN</t>
        </is>
      </c>
      <c r="G19" t="inlineStr">
        <is>
          <t>LYSEKIL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35135-2025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45852</v>
      </c>
      <c r="E20" s="1" t="n">
        <v>46259</v>
      </c>
      <c r="F20" t="inlineStr">
        <is>
          <t>VÄSTRA GÖTALANDS LÄN</t>
        </is>
      </c>
      <c r="G20" t="inlineStr">
        <is>
          <t>LYSEKIL</t>
        </is>
      </c>
      <c r="I20" t="n">
        <v>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45386</v>
      </c>
      <c r="E21" s="1" t="n">
        <v>46259</v>
      </c>
      <c r="F21" t="inlineStr">
        <is>
          <t>VÄSTRA GÖTALANDS LÄN</t>
        </is>
      </c>
      <c r="G21" t="inlineStr">
        <is>
          <t>LYSEKIL</t>
        </is>
      </c>
      <c r="I21" t="n">
        <v>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45859</v>
      </c>
      <c r="E22" s="1" t="n">
        <v>46259</v>
      </c>
      <c r="F22" t="inlineStr">
        <is>
          <t>VÄSTRA GÖTALANDS LÄN</t>
        </is>
      </c>
      <c r="G22" t="inlineStr">
        <is>
          <t>LYSEKIL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46259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38036-2025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45881</v>
      </c>
      <c r="E24" s="1" t="n">
        <v>46259</v>
      </c>
      <c r="F24" t="inlineStr">
        <is>
          <t>VÄSTRA GÖTALANDS LÄN</t>
        </is>
      </c>
      <c r="G24" t="inlineStr">
        <is>
          <t>LYSEKIL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40683-2025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45896</v>
      </c>
      <c r="E25" s="1" t="n">
        <v>46259</v>
      </c>
      <c r="F25" t="inlineStr">
        <is>
          <t>VÄSTRA GÖTALANDS LÄN</t>
        </is>
      </c>
      <c r="G25" t="inlineStr">
        <is>
          <t>LYSEKIL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46259</v>
      </c>
      <c r="F26" t="inlineStr">
        <is>
          <t>VÄSTRA GÖTALANDS LÄN</t>
        </is>
      </c>
      <c r="G26" t="inlineStr">
        <is>
          <t>LYSEKIL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46259</v>
      </c>
      <c r="F27" t="inlineStr">
        <is>
          <t>VÄSTRA GÖTALANDS LÄN</t>
        </is>
      </c>
      <c r="G27" t="inlineStr">
        <is>
          <t>LYSEKIL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42471-2025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46259</v>
      </c>
      <c r="F28" t="inlineStr">
        <is>
          <t>VÄSTRA GÖTALANDS LÄN</t>
        </is>
      </c>
      <c r="G28" t="inlineStr">
        <is>
          <t>LYSEKIL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48403-2024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45590</v>
      </c>
      <c r="E29" s="1" t="n">
        <v>46259</v>
      </c>
      <c r="F29" t="inlineStr">
        <is>
          <t>VÄSTRA GÖTALANDS LÄN</t>
        </is>
      </c>
      <c r="G29" t="inlineStr">
        <is>
          <t>LYSEKIL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46099</v>
      </c>
      <c r="E30" s="1" t="n">
        <v>46259</v>
      </c>
      <c r="F30" t="inlineStr">
        <is>
          <t>VÄSTRA GÖTALANDS LÄN</t>
        </is>
      </c>
      <c r="G30" t="inlineStr">
        <is>
          <t>LYSEKIL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46259</v>
      </c>
      <c r="F31" t="inlineStr">
        <is>
          <t>VÄSTRA GÖTALANDS LÄN</t>
        </is>
      </c>
      <c r="G31" t="inlineStr">
        <is>
          <t>LYSEKIL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44536-2024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45574</v>
      </c>
      <c r="E32" s="1" t="n">
        <v>46259</v>
      </c>
      <c r="F32" t="inlineStr">
        <is>
          <t>VÄSTRA GÖTALANDS LÄN</t>
        </is>
      </c>
      <c r="G32" t="inlineStr">
        <is>
          <t>LYSEKIL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43151-2025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45910</v>
      </c>
      <c r="E33" s="1" t="n">
        <v>46259</v>
      </c>
      <c r="F33" t="inlineStr">
        <is>
          <t>VÄSTRA GÖTALANDS LÄN</t>
        </is>
      </c>
      <c r="G33" t="inlineStr">
        <is>
          <t>LYSEKIL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46111</v>
      </c>
      <c r="E34" s="1" t="n">
        <v>46259</v>
      </c>
      <c r="F34" t="inlineStr">
        <is>
          <t>VÄSTRA GÖTALANDS LÄN</t>
        </is>
      </c>
      <c r="G34" t="inlineStr">
        <is>
          <t>LYSEKIL</t>
        </is>
      </c>
      <c r="I34" t="n">
        <v>5.3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46259</v>
      </c>
      <c r="F35" t="inlineStr">
        <is>
          <t>VÄSTRA GÖTALANDS LÄN</t>
        </is>
      </c>
      <c r="G35" t="inlineStr">
        <is>
          <t>LYSEKIL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37583-2024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46259</v>
      </c>
      <c r="F36" t="inlineStr">
        <is>
          <t>VÄSTRA GÖTALANDS LÄN</t>
        </is>
      </c>
      <c r="G36" t="inlineStr">
        <is>
          <t>LYSEKIL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45915</v>
      </c>
      <c r="E37" s="1" t="n">
        <v>46259</v>
      </c>
      <c r="F37" t="inlineStr">
        <is>
          <t>VÄSTRA GÖTALANDS LÄN</t>
        </is>
      </c>
      <c r="G37" t="inlineStr">
        <is>
          <t>LYSEKIL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46259</v>
      </c>
      <c r="F38" t="inlineStr">
        <is>
          <t>VÄSTRA GÖTALANDS LÄN</t>
        </is>
      </c>
      <c r="G38" t="inlineStr">
        <is>
          <t>LYSEKIL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18831-2026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46259</v>
      </c>
      <c r="F39" t="inlineStr">
        <is>
          <t>VÄSTRA GÖTALANDS LÄN</t>
        </is>
      </c>
      <c r="G39" t="inlineStr">
        <is>
          <t>LYSEKIL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46133</v>
      </c>
      <c r="E40" s="1" t="n">
        <v>46259</v>
      </c>
      <c r="F40" t="inlineStr">
        <is>
          <t>VÄSTRA GÖTALANDS LÄN</t>
        </is>
      </c>
      <c r="G40" t="inlineStr">
        <is>
          <t>LYSEKIL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61991-2024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45653</v>
      </c>
      <c r="E41" s="1" t="n">
        <v>46259</v>
      </c>
      <c r="F41" t="inlineStr">
        <is>
          <t>VÄSTRA GÖTALANDS LÄN</t>
        </is>
      </c>
      <c r="G41" t="inlineStr">
        <is>
          <t>LYSEKIL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46259</v>
      </c>
      <c r="F42" t="inlineStr">
        <is>
          <t>VÄSTRA GÖTALANDS LÄN</t>
        </is>
      </c>
      <c r="G42" t="inlineStr">
        <is>
          <t>LYSEKIL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43028-2023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45182</v>
      </c>
      <c r="E43" s="1" t="n">
        <v>46259</v>
      </c>
      <c r="F43" t="inlineStr">
        <is>
          <t>VÄSTRA GÖTALANDS LÄN</t>
        </is>
      </c>
      <c r="G43" t="inlineStr">
        <is>
          <t>LYSEKIL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37077-2023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46259</v>
      </c>
      <c r="F44" t="inlineStr">
        <is>
          <t>VÄSTRA GÖTALANDS LÄN</t>
        </is>
      </c>
      <c r="G44" t="inlineStr">
        <is>
          <t>LYSEKIL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44146-2023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46259</v>
      </c>
      <c r="F45" t="inlineStr">
        <is>
          <t>VÄSTRA GÖTALANDS LÄN</t>
        </is>
      </c>
      <c r="G45" t="inlineStr">
        <is>
          <t>LYSEKIL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60262-2024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46259</v>
      </c>
      <c r="F46" t="inlineStr">
        <is>
          <t>VÄSTRA GÖTALANDS LÄN</t>
        </is>
      </c>
      <c r="G46" t="inlineStr">
        <is>
          <t>LYSEKIL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46259</v>
      </c>
      <c r="F47" t="inlineStr">
        <is>
          <t>VÄSTRA GÖTALANDS LÄN</t>
        </is>
      </c>
      <c r="G47" t="inlineStr">
        <is>
          <t>LYSEKIL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46259</v>
      </c>
      <c r="F48" t="inlineStr">
        <is>
          <t>VÄSTRA GÖTALANDS LÄN</t>
        </is>
      </c>
      <c r="G48" t="inlineStr">
        <is>
          <t>LYSEKIL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46259</v>
      </c>
      <c r="F49" t="inlineStr">
        <is>
          <t>VÄSTRA GÖTALANDS LÄN</t>
        </is>
      </c>
      <c r="G49" t="inlineStr">
        <is>
          <t>LYSEKIL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46259</v>
      </c>
      <c r="F50" t="inlineStr">
        <is>
          <t>VÄSTRA GÖTALANDS LÄN</t>
        </is>
      </c>
      <c r="G50" t="inlineStr">
        <is>
          <t>LYSEKIL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45847</v>
      </c>
      <c r="E51" s="1" t="n">
        <v>46259</v>
      </c>
      <c r="F51" t="inlineStr">
        <is>
          <t>VÄSTRA GÖTALANDS LÄN</t>
        </is>
      </c>
      <c r="G51" t="inlineStr">
        <is>
          <t>LYSEKIL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46259</v>
      </c>
      <c r="F52" t="inlineStr">
        <is>
          <t>VÄSTRA GÖTALANDS LÄN</t>
        </is>
      </c>
      <c r="G52" t="inlineStr">
        <is>
          <t>LYSEKIL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58794-2022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44903</v>
      </c>
      <c r="E53" s="1" t="n">
        <v>46259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44977</v>
      </c>
      <c r="E54" s="1" t="n">
        <v>46259</v>
      </c>
      <c r="F54" t="inlineStr">
        <is>
          <t>VÄSTRA GÖTALANDS LÄN</t>
        </is>
      </c>
      <c r="G54" t="inlineStr">
        <is>
          <t>LYSEKIL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22411-2026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46259</v>
      </c>
      <c r="F55" t="inlineStr">
        <is>
          <t>VÄSTRA GÖTALANDS LÄN</t>
        </is>
      </c>
      <c r="G55" t="inlineStr">
        <is>
          <t>LYSEKIL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22407-2026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46259</v>
      </c>
      <c r="F56" t="inlineStr">
        <is>
          <t>VÄSTRA GÖTALANDS LÄN</t>
        </is>
      </c>
      <c r="G56" t="inlineStr">
        <is>
          <t>LYSEKIL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45436</v>
      </c>
      <c r="E57" s="1" t="n">
        <v>46259</v>
      </c>
      <c r="F57" t="inlineStr">
        <is>
          <t>VÄSTRA GÖTALANDS LÄN</t>
        </is>
      </c>
      <c r="G57" t="inlineStr">
        <is>
          <t>LYSEKIL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46155</v>
      </c>
      <c r="E58" s="1" t="n">
        <v>46259</v>
      </c>
      <c r="F58" t="inlineStr">
        <is>
          <t>VÄSTRA GÖTALANDS LÄN</t>
        </is>
      </c>
      <c r="G58" t="inlineStr">
        <is>
          <t>LYSEKIL</t>
        </is>
      </c>
      <c r="I58" t="n">
        <v>10.4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46259</v>
      </c>
      <c r="F59" t="inlineStr">
        <is>
          <t>VÄSTRA GÖTALANDS LÄN</t>
        </is>
      </c>
      <c r="G59" t="inlineStr">
        <is>
          <t>LYSEKIL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59223-2022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44899</v>
      </c>
      <c r="E60" s="1" t="n">
        <v>46259</v>
      </c>
      <c r="F60" t="inlineStr">
        <is>
          <t>VÄSTRA GÖTALANDS LÄN</t>
        </is>
      </c>
      <c r="G60" t="inlineStr">
        <is>
          <t>LYSEKIL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46259</v>
      </c>
      <c r="F61" t="inlineStr">
        <is>
          <t>VÄSTRA GÖTALANDS LÄN</t>
        </is>
      </c>
      <c r="G61" t="inlineStr">
        <is>
          <t>LYSEKIL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60969-2021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46259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54366-2025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45965</v>
      </c>
      <c r="E63" s="1" t="n">
        <v>46259</v>
      </c>
      <c r="F63" t="inlineStr">
        <is>
          <t>VÄSTRA GÖTALANDS LÄN</t>
        </is>
      </c>
      <c r="G63" t="inlineStr">
        <is>
          <t>LYSEKIL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45436</v>
      </c>
      <c r="E64" s="1" t="n">
        <v>46259</v>
      </c>
      <c r="F64" t="inlineStr">
        <is>
          <t>VÄSTRA GÖTALANDS LÄN</t>
        </is>
      </c>
      <c r="G64" t="inlineStr">
        <is>
          <t>LYSEKIL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13239-2024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46259</v>
      </c>
      <c r="F65" t="inlineStr">
        <is>
          <t>VÄSTRA GÖTALANDS LÄN</t>
        </is>
      </c>
      <c r="G65" t="inlineStr">
        <is>
          <t>LYSEKIL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31834-2026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46230</v>
      </c>
      <c r="E66" s="1" t="n">
        <v>46259</v>
      </c>
      <c r="F66" t="inlineStr">
        <is>
          <t>VÄSTRA GÖTALANDS LÄN</t>
        </is>
      </c>
      <c r="G66" t="inlineStr">
        <is>
          <t>LYSEKIL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45164</v>
      </c>
      <c r="E67" s="1" t="n">
        <v>46259</v>
      </c>
      <c r="F67" t="inlineStr">
        <is>
          <t>VÄSTRA GÖTALANDS LÄN</t>
        </is>
      </c>
      <c r="G67" t="inlineStr">
        <is>
          <t>LYSEKIL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45980</v>
      </c>
      <c r="E68" s="1" t="n">
        <v>46259</v>
      </c>
      <c r="F68" t="inlineStr">
        <is>
          <t>VÄSTRA GÖTALANDS LÄN</t>
        </is>
      </c>
      <c r="G68" t="inlineStr">
        <is>
          <t>LYSEKIL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57530-2025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45980</v>
      </c>
      <c r="E69" s="1" t="n">
        <v>46259</v>
      </c>
      <c r="F69" t="inlineStr">
        <is>
          <t>VÄSTRA GÖTALANDS LÄN</t>
        </is>
      </c>
      <c r="G69" t="inlineStr">
        <is>
          <t>LYSEKIL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44929</v>
      </c>
      <c r="E70" s="1" t="n">
        <v>46259</v>
      </c>
      <c r="F70" t="inlineStr">
        <is>
          <t>VÄSTRA GÖTALANDS LÄN</t>
        </is>
      </c>
      <c r="G70" t="inlineStr">
        <is>
          <t>LYSEKIL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46259</v>
      </c>
      <c r="F71" t="inlineStr">
        <is>
          <t>VÄSTRA GÖTALANDS LÄN</t>
        </is>
      </c>
      <c r="G71" t="inlineStr">
        <is>
          <t>LYSEKIL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46259</v>
      </c>
      <c r="F72" t="inlineStr">
        <is>
          <t>VÄSTRA GÖTALANDS LÄN</t>
        </is>
      </c>
      <c r="G72" t="inlineStr">
        <is>
          <t>LYSEKIL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45761</v>
      </c>
      <c r="E73" s="1" t="n">
        <v>46259</v>
      </c>
      <c r="F73" t="inlineStr">
        <is>
          <t>VÄSTRA GÖTALANDS LÄN</t>
        </is>
      </c>
      <c r="G73" t="inlineStr">
        <is>
          <t>LYSEKIL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46259</v>
      </c>
      <c r="F74" t="inlineStr">
        <is>
          <t>VÄSTRA GÖTALANDS LÄN</t>
        </is>
      </c>
      <c r="G74" t="inlineStr">
        <is>
          <t>LYSEKIL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45386</v>
      </c>
      <c r="E75" s="1" t="n">
        <v>46259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45319</v>
      </c>
      <c r="E76" s="1" t="n">
        <v>46259</v>
      </c>
      <c r="F76" t="inlineStr">
        <is>
          <t>VÄSTRA GÖTALANDS LÄN</t>
        </is>
      </c>
      <c r="G76" t="inlineStr">
        <is>
          <t>LYSEKIL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32827-2026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46243</v>
      </c>
      <c r="E77" s="1" t="n">
        <v>46259</v>
      </c>
      <c r="F77" t="inlineStr">
        <is>
          <t>VÄSTRA GÖTALANDS LÄN</t>
        </is>
      </c>
      <c r="G77" t="inlineStr">
        <is>
          <t>LYSEKIL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46259</v>
      </c>
      <c r="F78" t="inlineStr">
        <is>
          <t>VÄSTRA GÖTALANDS LÄN</t>
        </is>
      </c>
      <c r="G78" t="inlineStr">
        <is>
          <t>LYSEKIL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45673</v>
      </c>
      <c r="E79" s="1" t="n">
        <v>46259</v>
      </c>
      <c r="F79" t="inlineStr">
        <is>
          <t>VÄSTRA GÖTALANDS LÄN</t>
        </is>
      </c>
      <c r="G79" t="inlineStr">
        <is>
          <t>LYSEKIL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46259</v>
      </c>
      <c r="F80" t="inlineStr">
        <is>
          <t>VÄSTRA GÖTALANDS LÄN</t>
        </is>
      </c>
      <c r="G80" t="inlineStr">
        <is>
          <t>LYSEKIL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22605-2025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45789</v>
      </c>
      <c r="E81" s="1" t="n">
        <v>46259</v>
      </c>
      <c r="F81" t="inlineStr">
        <is>
          <t>VÄSTRA GÖTALANDS LÄN</t>
        </is>
      </c>
      <c r="G81" t="inlineStr">
        <is>
          <t>LYSEKIL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7509-2026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46259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45635</v>
      </c>
      <c r="E83" s="1" t="n">
        <v>46259</v>
      </c>
      <c r="F83" t="inlineStr">
        <is>
          <t>VÄSTRA GÖTALANDS LÄN</t>
        </is>
      </c>
      <c r="G83" t="inlineStr">
        <is>
          <t>LYSEKIL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7506-2026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46259</v>
      </c>
      <c r="F84" t="inlineStr">
        <is>
          <t>VÄSTRA GÖTALANDS LÄN</t>
        </is>
      </c>
      <c r="G84" t="inlineStr">
        <is>
          <t>LYSEKIL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46259</v>
      </c>
      <c r="F85" t="inlineStr">
        <is>
          <t>VÄSTRA GÖTALANDS LÄN</t>
        </is>
      </c>
      <c r="G85" t="inlineStr">
        <is>
          <t>LYSEKIL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19794-2023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45051</v>
      </c>
      <c r="E86" s="1" t="n">
        <v>46259</v>
      </c>
      <c r="F86" t="inlineStr">
        <is>
          <t>VÄSTRA GÖTALANDS LÄN</t>
        </is>
      </c>
      <c r="G86" t="inlineStr">
        <is>
          <t>LYSEKIL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8328-2026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46064</v>
      </c>
      <c r="E87" s="1" t="n">
        <v>46259</v>
      </c>
      <c r="F87" t="inlineStr">
        <is>
          <t>VÄSTRA GÖTALANDS LÄN</t>
        </is>
      </c>
      <c r="G87" t="inlineStr">
        <is>
          <t>LYSEKIL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63886-2023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45278</v>
      </c>
      <c r="E88" s="1" t="n">
        <v>46259</v>
      </c>
      <c r="F88" t="inlineStr">
        <is>
          <t>VÄSTRA GÖTALANDS LÄN</t>
        </is>
      </c>
      <c r="G88" t="inlineStr">
        <is>
          <t>LYSEKIL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9149-2026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46259</v>
      </c>
      <c r="F89" t="inlineStr">
        <is>
          <t>VÄSTRA GÖTALANDS LÄN</t>
        </is>
      </c>
      <c r="G89" t="inlineStr">
        <is>
          <t>LYSEKIL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46076</v>
      </c>
      <c r="E90" s="1" t="n">
        <v>46259</v>
      </c>
      <c r="F90" t="inlineStr">
        <is>
          <t>VÄSTRA GÖTALANDS LÄN</t>
        </is>
      </c>
      <c r="G90" t="inlineStr">
        <is>
          <t>LYSEKIL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10217-2026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46076</v>
      </c>
      <c r="E91" s="1" t="n">
        <v>46259</v>
      </c>
      <c r="F91" t="inlineStr">
        <is>
          <t>VÄSTRA GÖTALANDS LÄN</t>
        </is>
      </c>
      <c r="G91" t="inlineStr">
        <is>
          <t>LYSEKIL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46086</v>
      </c>
      <c r="E92" s="1" t="n">
        <v>46259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46259</v>
      </c>
      <c r="F93" t="inlineStr">
        <is>
          <t>VÄSTRA GÖTALANDS LÄN</t>
        </is>
      </c>
      <c r="G93" t="inlineStr">
        <is>
          <t>LYSEKIL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12532-2026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46090</v>
      </c>
      <c r="E94" s="1" t="n">
        <v>46259</v>
      </c>
      <c r="F94" t="inlineStr">
        <is>
          <t>VÄSTRA GÖTALANDS LÄN</t>
        </is>
      </c>
      <c r="G94" t="inlineStr">
        <is>
          <t>LYSEKIL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12523-2026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46090</v>
      </c>
      <c r="E95" s="1" t="n">
        <v>46259</v>
      </c>
      <c r="F95" t="inlineStr">
        <is>
          <t>VÄSTRA GÖTALANDS LÄN</t>
        </is>
      </c>
      <c r="G95" t="inlineStr">
        <is>
          <t>LYSEKIL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46259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2026-08-25T01:49:21Z</dcterms:created>
  <dcterms:modified xmlns:dcterms="http://purl.org/dc/terms/" xmlns:xsi="http://www.w3.org/2001/XMLSchema-instance" xsi:type="dcterms:W3CDTF">2026-08-25T01:49:21Z</dcterms:modified>
</cp:coreProperties>
</file>