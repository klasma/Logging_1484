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46319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46319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5311-2022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44594</v>
      </c>
      <c r="E4" s="1" t="n">
        <v>46319</v>
      </c>
      <c r="F4" t="inlineStr">
        <is>
          <t>VÄSTRA GÖTALANDS LÄN</t>
        </is>
      </c>
      <c r="G4" t="inlineStr">
        <is>
          <t>LYSEKIL</t>
        </is>
      </c>
      <c r="I4" t="n">
        <v>1.2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3</v>
      </c>
      <c r="U4" t="n">
        <v>3</v>
      </c>
      <c r="V4" s="2" t="inlineStr">
        <is>
          <t>Ask</t>
        </is>
      </c>
      <c r="W4">
        <f>HYPERLINK("https://klasma.github.io/Logging_1484/artfynd/A 5311-2022 artfynd.xlsx", "A 5311-2022")</f>
        <v/>
      </c>
      <c r="X4">
        <f>HYPERLINK("https://klasma.github.io/Logging_1484/kartor/A 5311-2022 karta.png", "A 5311-2022")</f>
        <v/>
      </c>
      <c r="Y4">
        <f>HYPERLINK("https://klasma.github.io/Logging_1484/kartor_geotiff/A 5311-2022 georefererad karta.tif", "A 5311-2022")</f>
        <v/>
      </c>
      <c r="AA4">
        <f>HYPERLINK("https://klasma.github.io/Logging_1484/klagomål/A 5311-2022 FSC-klagomål.docx", "A 5311-2022")</f>
        <v/>
      </c>
      <c r="AB4">
        <f>HYPERLINK("https://klasma.github.io/Logging_1484/klagomålsmail/A 5311-2022 FSC-klagomål mail.docx", "A 5311-2022")</f>
        <v/>
      </c>
      <c r="AC4">
        <f>HYPERLINK("https://klasma.github.io/Logging_1484/tillsyn/A 5311-2022 tillsynsbegäran.docx", "A 5311-2022")</f>
        <v/>
      </c>
      <c r="AD4">
        <f>HYPERLINK("https://klasma.github.io/Logging_1484/tillsynsmail/A 5311-2022 tillsynsbegäran mail.docx", "A 5311-2022")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46319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46319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46319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46319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46319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46319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46319</v>
      </c>
      <c r="F11" t="inlineStr">
        <is>
          <t>VÄSTRA GÖTALANDS LÄN</t>
        </is>
      </c>
      <c r="G11" t="inlineStr">
        <is>
          <t>LYSEKIL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60972-2021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44497</v>
      </c>
      <c r="E12" s="1" t="n">
        <v>46319</v>
      </c>
      <c r="F12" t="inlineStr">
        <is>
          <t>VÄSTRA GÖTALANDS LÄN</t>
        </is>
      </c>
      <c r="G12" t="inlineStr">
        <is>
          <t>LYSEKIL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60969-2021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46319</v>
      </c>
      <c r="F13" t="inlineStr">
        <is>
          <t>VÄSTRA GÖTALANDS LÄN</t>
        </is>
      </c>
      <c r="G13" t="inlineStr">
        <is>
          <t>LYSEKIL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40154-2025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45894</v>
      </c>
      <c r="E14" s="1" t="n">
        <v>46319</v>
      </c>
      <c r="F14" t="inlineStr">
        <is>
          <t>VÄSTRA GÖTALANDS LÄN</t>
        </is>
      </c>
      <c r="G14" t="inlineStr">
        <is>
          <t>LYSEKIL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41395-2025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45901</v>
      </c>
      <c r="E15" s="1" t="n">
        <v>46319</v>
      </c>
      <c r="F15" t="inlineStr">
        <is>
          <t>VÄSTRA GÖTALANDS LÄN</t>
        </is>
      </c>
      <c r="G15" t="inlineStr">
        <is>
          <t>LYSEKIL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42471-2025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46319</v>
      </c>
      <c r="F16" t="inlineStr">
        <is>
          <t>VÄSTRA GÖTALANDS LÄN</t>
        </is>
      </c>
      <c r="G16" t="inlineStr">
        <is>
          <t>LYSEKIL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43151-2025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45910</v>
      </c>
      <c r="E17" s="1" t="n">
        <v>46319</v>
      </c>
      <c r="F17" t="inlineStr">
        <is>
          <t>VÄSTRA GÖTALANDS LÄN</t>
        </is>
      </c>
      <c r="G17" t="inlineStr">
        <is>
          <t>LYSEKIL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44022-2025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46319</v>
      </c>
      <c r="F18" t="inlineStr">
        <is>
          <t>VÄSTRA GÖTALANDS LÄN</t>
        </is>
      </c>
      <c r="G18" t="inlineStr">
        <is>
          <t>LYSEKIL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20684-2024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45436</v>
      </c>
      <c r="E19" s="1" t="n">
        <v>46319</v>
      </c>
      <c r="F19" t="inlineStr">
        <is>
          <t>VÄSTRA GÖTALANDS LÄN</t>
        </is>
      </c>
      <c r="G19" t="inlineStr">
        <is>
          <t>LYSEKIL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46319</v>
      </c>
      <c r="F20" t="inlineStr">
        <is>
          <t>VÄSTRA GÖTALANDS LÄN</t>
        </is>
      </c>
      <c r="G20" t="inlineStr">
        <is>
          <t>LYSEKIL</t>
        </is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60262-2024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45642</v>
      </c>
      <c r="E21" s="1" t="n">
        <v>46319</v>
      </c>
      <c r="F21" t="inlineStr">
        <is>
          <t>VÄSTRA GÖTALANDS LÄN</t>
        </is>
      </c>
      <c r="G21" t="inlineStr">
        <is>
          <t>LYSEKIL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60265-2024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45642</v>
      </c>
      <c r="E22" s="1" t="n">
        <v>46319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53423-2023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45229</v>
      </c>
      <c r="E23" s="1" t="n">
        <v>46319</v>
      </c>
      <c r="F23" t="inlineStr">
        <is>
          <t>VÄSTRA GÖTALANDS LÄN</t>
        </is>
      </c>
      <c r="G23" t="inlineStr">
        <is>
          <t>LYSEKIL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45933</v>
      </c>
      <c r="E24" s="1" t="n">
        <v>46319</v>
      </c>
      <c r="F24" t="inlineStr">
        <is>
          <t>VÄSTRA GÖTALANDS LÄN</t>
        </is>
      </c>
      <c r="G24" t="inlineStr">
        <is>
          <t>LYSEKIL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60255-2024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45642</v>
      </c>
      <c r="E25" s="1" t="n">
        <v>46319</v>
      </c>
      <c r="F25" t="inlineStr">
        <is>
          <t>VÄSTRA GÖTALANDS LÄN</t>
        </is>
      </c>
      <c r="G25" t="inlineStr">
        <is>
          <t>LYSEKIL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34623-2025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45847</v>
      </c>
      <c r="E26" s="1" t="n">
        <v>46319</v>
      </c>
      <c r="F26" t="inlineStr">
        <is>
          <t>VÄSTRA GÖTALANDS LÄN</t>
        </is>
      </c>
      <c r="G26" t="inlineStr">
        <is>
          <t>LYSEKIL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39085-2023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45164</v>
      </c>
      <c r="E27" s="1" t="n">
        <v>46319</v>
      </c>
      <c r="F27" t="inlineStr">
        <is>
          <t>VÄSTRA GÖTALANDS LÄN</t>
        </is>
      </c>
      <c r="G27" t="inlineStr">
        <is>
          <t>LYSEKIL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10579-2024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45366</v>
      </c>
      <c r="E28" s="1" t="n">
        <v>46319</v>
      </c>
      <c r="F28" t="inlineStr">
        <is>
          <t>VÄSTRA GÖTALANDS LÄN</t>
        </is>
      </c>
      <c r="G28" t="inlineStr">
        <is>
          <t>LYSEKIL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44929</v>
      </c>
      <c r="E29" s="1" t="n">
        <v>46319</v>
      </c>
      <c r="F29" t="inlineStr">
        <is>
          <t>VÄSTRA GÖTALANDS LÄN</t>
        </is>
      </c>
      <c r="G29" t="inlineStr">
        <is>
          <t>LYSEKIL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46319</v>
      </c>
      <c r="F30" t="inlineStr">
        <is>
          <t>VÄSTRA GÖTALANDS LÄN</t>
        </is>
      </c>
      <c r="G30" t="inlineStr">
        <is>
          <t>LYSEKIL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18138-2025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46319</v>
      </c>
      <c r="F31" t="inlineStr">
        <is>
          <t>VÄSTRA GÖTALANDS LÄN</t>
        </is>
      </c>
      <c r="G31" t="inlineStr">
        <is>
          <t>LYSEKIL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18142-2025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46319</v>
      </c>
      <c r="F32" t="inlineStr">
        <is>
          <t>VÄSTRA GÖTALANDS LÄN</t>
        </is>
      </c>
      <c r="G32" t="inlineStr">
        <is>
          <t>LYSEKIL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46319</v>
      </c>
      <c r="F33" t="inlineStr">
        <is>
          <t>VÄSTRA GÖTALANDS LÄN</t>
        </is>
      </c>
      <c r="G33" t="inlineStr">
        <is>
          <t>LYSEKIL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54366-2025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46319</v>
      </c>
      <c r="F34" t="inlineStr">
        <is>
          <t>VÄSTRA GÖTALANDS LÄN</t>
        </is>
      </c>
      <c r="G34" t="inlineStr">
        <is>
          <t>LYSEKIL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13250-2024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45386</v>
      </c>
      <c r="E35" s="1" t="n">
        <v>46319</v>
      </c>
      <c r="F35" t="inlineStr">
        <is>
          <t>VÄSTRA GÖTALANDS LÄN</t>
        </is>
      </c>
      <c r="G35" t="inlineStr">
        <is>
          <t>LYSEKIL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3408-2024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45319</v>
      </c>
      <c r="E36" s="1" t="n">
        <v>46319</v>
      </c>
      <c r="F36" t="inlineStr">
        <is>
          <t>VÄSTRA GÖTALANDS LÄN</t>
        </is>
      </c>
      <c r="G36" t="inlineStr">
        <is>
          <t>LYSEKIL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13246-2024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46319</v>
      </c>
      <c r="F37" t="inlineStr">
        <is>
          <t>VÄSTRA GÖTALANDS LÄN</t>
        </is>
      </c>
      <c r="G37" t="inlineStr">
        <is>
          <t>LYSEKIL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57532-2025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45980</v>
      </c>
      <c r="E38" s="1" t="n">
        <v>46319</v>
      </c>
      <c r="F38" t="inlineStr">
        <is>
          <t>VÄSTRA GÖTALANDS LÄN</t>
        </is>
      </c>
      <c r="G38" t="inlineStr">
        <is>
          <t>LYSEKIL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57530-2025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46319</v>
      </c>
      <c r="F39" t="inlineStr">
        <is>
          <t>VÄSTRA GÖTALANDS LÄN</t>
        </is>
      </c>
      <c r="G39" t="inlineStr">
        <is>
          <t>LYSEKIL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46319</v>
      </c>
      <c r="F40" t="inlineStr">
        <is>
          <t>VÄSTRA GÖTALANDS LÄN</t>
        </is>
      </c>
      <c r="G40" t="inlineStr">
        <is>
          <t>LYSEKIL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46230</v>
      </c>
      <c r="E41" s="1" t="n">
        <v>46319</v>
      </c>
      <c r="F41" t="inlineStr">
        <is>
          <t>VÄSTRA GÖTALANDS LÄN</t>
        </is>
      </c>
      <c r="G41" t="inlineStr">
        <is>
          <t>LYSEKIL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45293</v>
      </c>
      <c r="E42" s="1" t="n">
        <v>46319</v>
      </c>
      <c r="F42" t="inlineStr">
        <is>
          <t>VÄSTRA GÖTALANDS LÄN</t>
        </is>
      </c>
      <c r="G42" t="inlineStr">
        <is>
          <t>LYSEKIL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22605-2025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45789</v>
      </c>
      <c r="E43" s="1" t="n">
        <v>46319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32827-2026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46243</v>
      </c>
      <c r="E44" s="1" t="n">
        <v>46319</v>
      </c>
      <c r="F44" t="inlineStr">
        <is>
          <t>VÄSTRA GÖTALANDS LÄN</t>
        </is>
      </c>
      <c r="G44" t="inlineStr">
        <is>
          <t>LYSEKIL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58619-2024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45635</v>
      </c>
      <c r="E45" s="1" t="n">
        <v>46319</v>
      </c>
      <c r="F45" t="inlineStr">
        <is>
          <t>VÄSTRA GÖTALANDS LÄN</t>
        </is>
      </c>
      <c r="G45" t="inlineStr">
        <is>
          <t>LYSEKIL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46042</v>
      </c>
      <c r="E46" s="1" t="n">
        <v>46319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41581-2023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45173</v>
      </c>
      <c r="E47" s="1" t="n">
        <v>46319</v>
      </c>
      <c r="F47" t="inlineStr">
        <is>
          <t>VÄSTRA GÖTALANDS LÄN</t>
        </is>
      </c>
      <c r="G47" t="inlineStr">
        <is>
          <t>LYSEKIL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45051</v>
      </c>
      <c r="E48" s="1" t="n">
        <v>46319</v>
      </c>
      <c r="F48" t="inlineStr">
        <is>
          <t>VÄSTRA GÖTALANDS LÄN</t>
        </is>
      </c>
      <c r="G48" t="inlineStr">
        <is>
          <t>LYSEKIL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63886-2023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46319</v>
      </c>
      <c r="F49" t="inlineStr">
        <is>
          <t>VÄSTRA GÖTALANDS LÄN</t>
        </is>
      </c>
      <c r="G49" t="inlineStr">
        <is>
          <t>LYSEKIL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46319</v>
      </c>
      <c r="F50" t="inlineStr">
        <is>
          <t>VÄSTRA GÖTALANDS LÄN</t>
        </is>
      </c>
      <c r="G50" t="inlineStr">
        <is>
          <t>LYSEKIL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46319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46319</v>
      </c>
      <c r="F52" t="inlineStr">
        <is>
          <t>VÄSTRA GÖTALANDS LÄN</t>
        </is>
      </c>
      <c r="G52" t="inlineStr">
        <is>
          <t>LYSEKIL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46319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45436</v>
      </c>
      <c r="E54" s="1" t="n">
        <v>46319</v>
      </c>
      <c r="F54" t="inlineStr">
        <is>
          <t>VÄSTRA GÖTALANDS LÄN</t>
        </is>
      </c>
      <c r="G54" t="inlineStr">
        <is>
          <t>LYSEKIL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9149-2026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46319</v>
      </c>
      <c r="F55" t="inlineStr">
        <is>
          <t>VÄSTRA GÖTALANDS LÄN</t>
        </is>
      </c>
      <c r="G55" t="inlineStr">
        <is>
          <t>LYSEKIL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46319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10217-2026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46076</v>
      </c>
      <c r="E57" s="1" t="n">
        <v>46319</v>
      </c>
      <c r="F57" t="inlineStr">
        <is>
          <t>VÄSTRA GÖTALANDS LÄN</t>
        </is>
      </c>
      <c r="G57" t="inlineStr">
        <is>
          <t>LYSEKIL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46319</v>
      </c>
      <c r="F58" t="inlineStr">
        <is>
          <t>VÄSTRA GÖTALANDS LÄN</t>
        </is>
      </c>
      <c r="G58" t="inlineStr">
        <is>
          <t>LYSEKIL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46319</v>
      </c>
      <c r="F59" t="inlineStr">
        <is>
          <t>VÄSTRA GÖTALANDS LÄN</t>
        </is>
      </c>
      <c r="G59" t="inlineStr">
        <is>
          <t>LYSEKIL</t>
        </is>
      </c>
      <c r="I59" t="n">
        <v>9.199999999999999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46319</v>
      </c>
      <c r="F60" t="inlineStr">
        <is>
          <t>VÄSTRA GÖTALANDS LÄN</t>
        </is>
      </c>
      <c r="G60" t="inlineStr">
        <is>
          <t>LYSEKIL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46090</v>
      </c>
      <c r="E61" s="1" t="n">
        <v>46319</v>
      </c>
      <c r="F61" t="inlineStr">
        <is>
          <t>VÄSTRA GÖTALANDS LÄN</t>
        </is>
      </c>
      <c r="G61" t="inlineStr">
        <is>
          <t>LYSEKIL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46099</v>
      </c>
      <c r="E62" s="1" t="n">
        <v>46319</v>
      </c>
      <c r="F62" t="inlineStr">
        <is>
          <t>VÄSTRA GÖTALANDS LÄN</t>
        </is>
      </c>
      <c r="G62" t="inlineStr">
        <is>
          <t>LYSEKIL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45852</v>
      </c>
      <c r="E63" s="1" t="n">
        <v>46319</v>
      </c>
      <c r="F63" t="inlineStr">
        <is>
          <t>VÄSTRA GÖTALANDS LÄN</t>
        </is>
      </c>
      <c r="G63" t="inlineStr">
        <is>
          <t>LYSEKIL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45852</v>
      </c>
      <c r="E64" s="1" t="n">
        <v>46319</v>
      </c>
      <c r="F64" t="inlineStr">
        <is>
          <t>VÄSTRA GÖTALANDS LÄN</t>
        </is>
      </c>
      <c r="G64" t="inlineStr">
        <is>
          <t>LYSEKIL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16233-2026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46111</v>
      </c>
      <c r="E65" s="1" t="n">
        <v>46319</v>
      </c>
      <c r="F65" t="inlineStr">
        <is>
          <t>VÄSTRA GÖTALANDS LÄN</t>
        </is>
      </c>
      <c r="G65" t="inlineStr">
        <is>
          <t>LYSEKIL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35640-2025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45859</v>
      </c>
      <c r="E66" s="1" t="n">
        <v>46319</v>
      </c>
      <c r="F66" t="inlineStr">
        <is>
          <t>VÄSTRA GÖTALANDS LÄN</t>
        </is>
      </c>
      <c r="G66" t="inlineStr">
        <is>
          <t>LYSEKIL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46112</v>
      </c>
      <c r="E67" s="1" t="n">
        <v>46319</v>
      </c>
      <c r="F67" t="inlineStr">
        <is>
          <t>VÄSTRA GÖTALANDS LÄN</t>
        </is>
      </c>
      <c r="G67" t="inlineStr">
        <is>
          <t>LYSEKIL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46303</v>
      </c>
      <c r="E68" s="1" t="n">
        <v>46319</v>
      </c>
      <c r="F68" t="inlineStr">
        <is>
          <t>VÄSTRA GÖTALANDS LÄN</t>
        </is>
      </c>
      <c r="G68" t="inlineStr">
        <is>
          <t>LYSEKIL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35402-2026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46261</v>
      </c>
      <c r="E69" s="1" t="n">
        <v>46319</v>
      </c>
      <c r="F69" t="inlineStr">
        <is>
          <t>VÄSTRA GÖTALANDS LÄN</t>
        </is>
      </c>
      <c r="G69" t="inlineStr">
        <is>
          <t>LYSEKIL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46319</v>
      </c>
      <c r="F70" t="inlineStr">
        <is>
          <t>VÄSTRA GÖTALANDS LÄN</t>
        </is>
      </c>
      <c r="G70" t="inlineStr">
        <is>
          <t>LYSEKIL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46133</v>
      </c>
      <c r="E71" s="1" t="n">
        <v>46319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46319</v>
      </c>
      <c r="F72" t="inlineStr">
        <is>
          <t>VÄSTRA GÖTALANDS LÄN</t>
        </is>
      </c>
      <c r="G72" t="inlineStr">
        <is>
          <t>LYSEKIL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42964-2026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46310</v>
      </c>
      <c r="E73" s="1" t="n">
        <v>46319</v>
      </c>
      <c r="F73" t="inlineStr">
        <is>
          <t>VÄSTRA GÖTALANDS LÄN</t>
        </is>
      </c>
      <c r="G73" t="inlineStr">
        <is>
          <t>LYSEKIL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42968-2026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46310</v>
      </c>
      <c r="E74" s="1" t="n">
        <v>46319</v>
      </c>
      <c r="F74" t="inlineStr">
        <is>
          <t>VÄSTRA GÖTALANDS LÄN</t>
        </is>
      </c>
      <c r="G74" t="inlineStr">
        <is>
          <t>LYSEKIL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46266</v>
      </c>
      <c r="E75" s="1" t="n">
        <v>46319</v>
      </c>
      <c r="F75" t="inlineStr">
        <is>
          <t>VÄSTRA GÖTALANDS LÄN</t>
        </is>
      </c>
      <c r="G75" t="inlineStr">
        <is>
          <t>LYSEKIL</t>
        </is>
      </c>
      <c r="H75" t="inlineStr">
        <is>
          <t>Kommuner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45155</v>
      </c>
      <c r="E76" s="1" t="n">
        <v>46319</v>
      </c>
      <c r="F76" t="inlineStr">
        <is>
          <t>VÄSTRA GÖTALANDS LÄN</t>
        </is>
      </c>
      <c r="G76" t="inlineStr">
        <is>
          <t>LYSEKIL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15108-2023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45016</v>
      </c>
      <c r="E77" s="1" t="n">
        <v>46319</v>
      </c>
      <c r="F77" t="inlineStr">
        <is>
          <t>VÄSTRA GÖTALANDS LÄN</t>
        </is>
      </c>
      <c r="G77" t="inlineStr">
        <is>
          <t>LYSEKIL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43028-2023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45182</v>
      </c>
      <c r="E78" s="1" t="n">
        <v>46319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46154</v>
      </c>
      <c r="E79" s="1" t="n">
        <v>46319</v>
      </c>
      <c r="F79" t="inlineStr">
        <is>
          <t>VÄSTRA GÖTALANDS LÄN</t>
        </is>
      </c>
      <c r="G79" t="inlineStr">
        <is>
          <t>LYSEKIL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46154</v>
      </c>
      <c r="E80" s="1" t="n">
        <v>46319</v>
      </c>
      <c r="F80" t="inlineStr">
        <is>
          <t>VÄSTRA GÖTALANDS LÄN</t>
        </is>
      </c>
      <c r="G80" t="inlineStr">
        <is>
          <t>LYSEKIL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46319</v>
      </c>
      <c r="F81" t="inlineStr">
        <is>
          <t>VÄSTRA GÖTALANDS LÄN</t>
        </is>
      </c>
      <c r="G81" t="inlineStr">
        <is>
          <t>LYSEKIL</t>
        </is>
      </c>
      <c r="I81" t="n">
        <v>10.4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46319</v>
      </c>
      <c r="F82" t="inlineStr">
        <is>
          <t>VÄSTRA GÖTALANDS LÄN</t>
        </is>
      </c>
      <c r="G82" t="inlineStr">
        <is>
          <t>LYSEKIL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46319</v>
      </c>
      <c r="F83" t="inlineStr">
        <is>
          <t>VÄSTRA GÖTALANDS LÄN</t>
        </is>
      </c>
      <c r="G83" t="inlineStr">
        <is>
          <t>LYSEKIL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45574</v>
      </c>
      <c r="E84" s="1" t="n">
        <v>46319</v>
      </c>
      <c r="F84" t="inlineStr">
        <is>
          <t>VÄSTRA GÖTALANDS LÄN</t>
        </is>
      </c>
      <c r="G84" t="inlineStr">
        <is>
          <t>LYSEKIL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45541</v>
      </c>
      <c r="E85" s="1" t="n">
        <v>46319</v>
      </c>
      <c r="F85" t="inlineStr">
        <is>
          <t>VÄSTRA GÖTALANDS LÄN</t>
        </is>
      </c>
      <c r="G85" t="inlineStr">
        <is>
          <t>LYSEKIL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45653</v>
      </c>
      <c r="E86" s="1" t="n">
        <v>46319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45155</v>
      </c>
      <c r="E87" s="1" t="n">
        <v>46319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46319</v>
      </c>
      <c r="F88" t="inlineStr">
        <is>
          <t>VÄSTRA GÖTALANDS LÄN</t>
        </is>
      </c>
      <c r="G88" t="inlineStr">
        <is>
          <t>LYSEKIL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46319</v>
      </c>
      <c r="F89" t="inlineStr">
        <is>
          <t>VÄSTRA GÖTALANDS LÄN</t>
        </is>
      </c>
      <c r="G89" t="inlineStr">
        <is>
          <t>LYSEKIL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46319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46319</v>
      </c>
      <c r="F91" t="inlineStr">
        <is>
          <t>VÄSTRA GÖTALANDS LÄN</t>
        </is>
      </c>
      <c r="G91" t="inlineStr">
        <is>
          <t>LYSEKIL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44899</v>
      </c>
      <c r="E92" s="1" t="n">
        <v>46319</v>
      </c>
      <c r="F92" t="inlineStr">
        <is>
          <t>VÄSTRA GÖTALANDS LÄN</t>
        </is>
      </c>
      <c r="G92" t="inlineStr">
        <is>
          <t>LYSEKIL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46319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2026-10-24T02:03:17Z</dcterms:created>
  <dcterms:modified xmlns:dcterms="http://purl.org/dc/terms/" xmlns:xsi="http://www.w3.org/2001/XMLSchema-instance" xsi:type="dcterms:W3CDTF">2026-10-24T02:03:18Z</dcterms:modified>
</cp:coreProperties>
</file>