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45802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45802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45802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45802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45802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53422-2023</t>
        </is>
      </c>
      <c r="B7" s="1" t="n">
        <v>45229</v>
      </c>
      <c r="C7" s="1" t="n">
        <v>45802</v>
      </c>
      <c r="D7" t="inlineStr">
        <is>
          <t>VÄSTRA GÖTALANDS LÄN</t>
        </is>
      </c>
      <c r="E7" t="inlineStr">
        <is>
          <t>LYSEKIL</t>
        </is>
      </c>
      <c r="G7" t="n">
        <v>3.1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Huggorm</t>
        </is>
      </c>
      <c r="S7">
        <f>HYPERLINK("https://klasma.github.io/Logging_1484/artfynd/A 53422-2023 artfynd.xlsx", "A 53422-2023")</f>
        <v/>
      </c>
      <c r="T7">
        <f>HYPERLINK("https://klasma.github.io/Logging_1484/kartor/A 53422-2023 karta.png", "A 53422-2023")</f>
        <v/>
      </c>
      <c r="V7">
        <f>HYPERLINK("https://klasma.github.io/Logging_1484/klagomål/A 53422-2023 FSC-klagomål.docx", "A 53422-2023")</f>
        <v/>
      </c>
      <c r="W7">
        <f>HYPERLINK("https://klasma.github.io/Logging_1484/klagomålsmail/A 53422-2023 FSC-klagomål mail.docx", "A 53422-2023")</f>
        <v/>
      </c>
      <c r="X7">
        <f>HYPERLINK("https://klasma.github.io/Logging_1484/tillsyn/A 53422-2023 tillsynsbegäran.docx", "A 53422-2023")</f>
        <v/>
      </c>
      <c r="Y7">
        <f>HYPERLINK("https://klasma.github.io/Logging_1484/tillsynsmail/A 53422-2023 tillsynsbegäran mail.docx", "A 53422-2023")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45802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45802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45802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45802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45802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45802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45802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45802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45802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45802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45802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45802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45802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45802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45802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45802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45802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45802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45802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45802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45802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45802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45802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45802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45802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45802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45802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45802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45802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45802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45802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45802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45802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45802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45802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45802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45802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45802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45802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45802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45802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45802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45802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45802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45802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45802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45802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45802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45802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45802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45802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45802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45802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45802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45802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45802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45802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45802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45802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45802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37050-2023</t>
        </is>
      </c>
      <c r="B68" s="1" t="n">
        <v>45155</v>
      </c>
      <c r="C68" s="1" t="n">
        <v>45802</v>
      </c>
      <c r="D68" t="inlineStr">
        <is>
          <t>VÄSTRA GÖTALANDS LÄN</t>
        </is>
      </c>
      <c r="E68" t="inlineStr">
        <is>
          <t>LYSEKIL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37077-2023</t>
        </is>
      </c>
      <c r="B69" s="1" t="n">
        <v>45155</v>
      </c>
      <c r="C69" s="1" t="n">
        <v>45802</v>
      </c>
      <c r="D69" t="inlineStr">
        <is>
          <t>VÄSTRA GÖTALANDS LÄN</t>
        </is>
      </c>
      <c r="E69" t="inlineStr">
        <is>
          <t>LYSEKIL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37123-2023</t>
        </is>
      </c>
      <c r="B70" s="1" t="n">
        <v>45155</v>
      </c>
      <c r="C70" s="1" t="n">
        <v>45802</v>
      </c>
      <c r="D70" t="inlineStr">
        <is>
          <t>VÄSTRA GÖTALANDS LÄN</t>
        </is>
      </c>
      <c r="E70" t="inlineStr">
        <is>
          <t>LYSEKIL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37149-2023</t>
        </is>
      </c>
      <c r="B71" s="1" t="n">
        <v>45155</v>
      </c>
      <c r="C71" s="1" t="n">
        <v>45802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39084-2023</t>
        </is>
      </c>
      <c r="B72" s="1" t="n">
        <v>45164</v>
      </c>
      <c r="C72" s="1" t="n">
        <v>45802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39085-2023</t>
        </is>
      </c>
      <c r="B73" s="1" t="n">
        <v>45164</v>
      </c>
      <c r="C73" s="1" t="n">
        <v>45802</v>
      </c>
      <c r="D73" t="inlineStr">
        <is>
          <t>VÄSTRA GÖTALANDS LÄN</t>
        </is>
      </c>
      <c r="E73" t="inlineStr">
        <is>
          <t>LYSEKIL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41581-2023</t>
        </is>
      </c>
      <c r="B74" s="1" t="n">
        <v>45173</v>
      </c>
      <c r="C74" s="1" t="n">
        <v>45802</v>
      </c>
      <c r="D74" t="inlineStr">
        <is>
          <t>VÄSTRA GÖTALANDS LÄN</t>
        </is>
      </c>
      <c r="E74" t="inlineStr">
        <is>
          <t>LYSEKIL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43028-2023</t>
        </is>
      </c>
      <c r="B75" s="1" t="n">
        <v>45182</v>
      </c>
      <c r="C75" s="1" t="n">
        <v>45802</v>
      </c>
      <c r="D75" t="inlineStr">
        <is>
          <t>VÄSTRA GÖTALANDS LÄN</t>
        </is>
      </c>
      <c r="E75" t="inlineStr">
        <is>
          <t>LYSEKIL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44146-2023</t>
        </is>
      </c>
      <c r="B76" s="1" t="n">
        <v>45188</v>
      </c>
      <c r="C76" s="1" t="n">
        <v>45802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48103-2023</t>
        </is>
      </c>
      <c r="B77" s="1" t="n">
        <v>45205</v>
      </c>
      <c r="C77" s="1" t="n">
        <v>45802</v>
      </c>
      <c r="D77" t="inlineStr">
        <is>
          <t>VÄSTRA GÖTALANDS LÄN</t>
        </is>
      </c>
      <c r="E77" t="inlineStr">
        <is>
          <t>LYSEKIL</t>
        </is>
      </c>
      <c r="G77" t="n">
        <v>6.8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49368-2023</t>
        </is>
      </c>
      <c r="B78" s="1" t="n">
        <v>45211</v>
      </c>
      <c r="C78" s="1" t="n">
        <v>45802</v>
      </c>
      <c r="D78" t="inlineStr">
        <is>
          <t>VÄSTRA GÖTALANDS LÄN</t>
        </is>
      </c>
      <c r="E78" t="inlineStr">
        <is>
          <t>LYSEKIL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50343-2023</t>
        </is>
      </c>
      <c r="B79" s="1" t="n">
        <v>45216</v>
      </c>
      <c r="C79" s="1" t="n">
        <v>45802</v>
      </c>
      <c r="D79" t="inlineStr">
        <is>
          <t>VÄSTRA GÖTALANDS LÄN</t>
        </is>
      </c>
      <c r="E79" t="inlineStr">
        <is>
          <t>LYSEKIL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53423-2023</t>
        </is>
      </c>
      <c r="B80" s="1" t="n">
        <v>45229</v>
      </c>
      <c r="C80" s="1" t="n">
        <v>45802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62468-2023</t>
        </is>
      </c>
      <c r="B81" s="1" t="n">
        <v>45268</v>
      </c>
      <c r="C81" s="1" t="n">
        <v>45802</v>
      </c>
      <c r="D81" t="inlineStr">
        <is>
          <t>VÄSTRA GÖTALANDS LÄN</t>
        </is>
      </c>
      <c r="E81" t="inlineStr">
        <is>
          <t>LYSEKIL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63886-2023</t>
        </is>
      </c>
      <c r="B82" s="1" t="n">
        <v>45278</v>
      </c>
      <c r="C82" s="1" t="n">
        <v>45802</v>
      </c>
      <c r="D82" t="inlineStr">
        <is>
          <t>VÄSTRA GÖTALANDS LÄN</t>
        </is>
      </c>
      <c r="E82" t="inlineStr">
        <is>
          <t>LYSEKIL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52-2024</t>
        </is>
      </c>
      <c r="B83" s="1" t="n">
        <v>45293</v>
      </c>
      <c r="C83" s="1" t="n">
        <v>45802</v>
      </c>
      <c r="D83" t="inlineStr">
        <is>
          <t>VÄSTRA GÖTALANDS LÄN</t>
        </is>
      </c>
      <c r="E83" t="inlineStr">
        <is>
          <t>LYSEKIL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3408-2024</t>
        </is>
      </c>
      <c r="B84" s="1" t="n">
        <v>45319</v>
      </c>
      <c r="C84" s="1" t="n">
        <v>45802</v>
      </c>
      <c r="D84" t="inlineStr">
        <is>
          <t>VÄSTRA GÖTALANDS LÄN</t>
        </is>
      </c>
      <c r="E84" t="inlineStr">
        <is>
          <t>LYSEKIL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10579-2024</t>
        </is>
      </c>
      <c r="B85" s="1" t="n">
        <v>45366</v>
      </c>
      <c r="C85" s="1" t="n">
        <v>45802</v>
      </c>
      <c r="D85" t="inlineStr">
        <is>
          <t>VÄSTRA GÖTALANDS LÄN</t>
        </is>
      </c>
      <c r="E85" t="inlineStr">
        <is>
          <t>LYSEKIL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13246-2024</t>
        </is>
      </c>
      <c r="B86" s="1" t="n">
        <v>45386</v>
      </c>
      <c r="C86" s="1" t="n">
        <v>45802</v>
      </c>
      <c r="D86" t="inlineStr">
        <is>
          <t>VÄSTRA GÖTALANDS LÄN</t>
        </is>
      </c>
      <c r="E86" t="inlineStr">
        <is>
          <t>LYSEKIL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13250-2024</t>
        </is>
      </c>
      <c r="B87" s="1" t="n">
        <v>45386</v>
      </c>
      <c r="C87" s="1" t="n">
        <v>45802</v>
      </c>
      <c r="D87" t="inlineStr">
        <is>
          <t>VÄSTRA GÖTALANDS LÄN</t>
        </is>
      </c>
      <c r="E87" t="inlineStr">
        <is>
          <t>LYSEKIL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13239-2024</t>
        </is>
      </c>
      <c r="B88" s="1" t="n">
        <v>45386</v>
      </c>
      <c r="C88" s="1" t="n">
        <v>45802</v>
      </c>
      <c r="D88" t="inlineStr">
        <is>
          <t>VÄSTRA GÖTALANDS LÄN</t>
        </is>
      </c>
      <c r="E88" t="inlineStr">
        <is>
          <t>LYSEKIL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13243-2024</t>
        </is>
      </c>
      <c r="B89" s="1" t="n">
        <v>45386</v>
      </c>
      <c r="C89" s="1" t="n">
        <v>45802</v>
      </c>
      <c r="D89" t="inlineStr">
        <is>
          <t>VÄSTRA GÖTALANDS LÄN</t>
        </is>
      </c>
      <c r="E89" t="inlineStr">
        <is>
          <t>LYSEKIL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20166-2024</t>
        </is>
      </c>
      <c r="B90" s="1" t="n">
        <v>45434</v>
      </c>
      <c r="C90" s="1" t="n">
        <v>45802</v>
      </c>
      <c r="D90" t="inlineStr">
        <is>
          <t>VÄSTRA GÖTALANDS LÄN</t>
        </is>
      </c>
      <c r="E90" t="inlineStr">
        <is>
          <t>LYSEKIL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20683-2024</t>
        </is>
      </c>
      <c r="B91" s="1" t="n">
        <v>45436</v>
      </c>
      <c r="C91" s="1" t="n">
        <v>45802</v>
      </c>
      <c r="D91" t="inlineStr">
        <is>
          <t>VÄSTRA GÖTALANDS LÄN</t>
        </is>
      </c>
      <c r="E91" t="inlineStr">
        <is>
          <t>LYSEKIL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20684-2024</t>
        </is>
      </c>
      <c r="B92" s="1" t="n">
        <v>45436</v>
      </c>
      <c r="C92" s="1" t="n">
        <v>45802</v>
      </c>
      <c r="D92" t="inlineStr">
        <is>
          <t>VÄSTRA GÖTALANDS LÄN</t>
        </is>
      </c>
      <c r="E92" t="inlineStr">
        <is>
          <t>LYSEKIL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20685-2024</t>
        </is>
      </c>
      <c r="B93" s="1" t="n">
        <v>45436</v>
      </c>
      <c r="C93" s="1" t="n">
        <v>45802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26357-2024</t>
        </is>
      </c>
      <c r="B94" s="1" t="n">
        <v>45469</v>
      </c>
      <c r="C94" s="1" t="n">
        <v>45802</v>
      </c>
      <c r="D94" t="inlineStr">
        <is>
          <t>VÄSTRA GÖTALANDS LÄN</t>
        </is>
      </c>
      <c r="E94" t="inlineStr">
        <is>
          <t>LYSEKIL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31132-2024</t>
        </is>
      </c>
      <c r="B95" s="1" t="n">
        <v>45502</v>
      </c>
      <c r="C95" s="1" t="n">
        <v>45802</v>
      </c>
      <c r="D95" t="inlineStr">
        <is>
          <t>VÄSTRA GÖTALANDS LÄN</t>
        </is>
      </c>
      <c r="E95" t="inlineStr">
        <is>
          <t>LYSEKIL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37546-2024</t>
        </is>
      </c>
      <c r="B96" s="1" t="n">
        <v>45541</v>
      </c>
      <c r="C96" s="1" t="n">
        <v>45802</v>
      </c>
      <c r="D96" t="inlineStr">
        <is>
          <t>VÄSTRA GÖTALANDS LÄN</t>
        </is>
      </c>
      <c r="E96" t="inlineStr">
        <is>
          <t>LYSEKIL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37583-2024</t>
        </is>
      </c>
      <c r="B97" s="1" t="n">
        <v>45541</v>
      </c>
      <c r="C97" s="1" t="n">
        <v>45802</v>
      </c>
      <c r="D97" t="inlineStr">
        <is>
          <t>VÄSTRA GÖTALANDS LÄN</t>
        </is>
      </c>
      <c r="E97" t="inlineStr">
        <is>
          <t>LYSEKIL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44536-2024</t>
        </is>
      </c>
      <c r="B98" s="1" t="n">
        <v>45574</v>
      </c>
      <c r="C98" s="1" t="n">
        <v>45802</v>
      </c>
      <c r="D98" t="inlineStr">
        <is>
          <t>VÄSTRA GÖTALANDS LÄN</t>
        </is>
      </c>
      <c r="E98" t="inlineStr">
        <is>
          <t>LYSEKIL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48403-2024</t>
        </is>
      </c>
      <c r="B99" s="1" t="n">
        <v>45590</v>
      </c>
      <c r="C99" s="1" t="n">
        <v>45802</v>
      </c>
      <c r="D99" t="inlineStr">
        <is>
          <t>VÄSTRA GÖTALANDS LÄN</t>
        </is>
      </c>
      <c r="E99" t="inlineStr">
        <is>
          <t>LYSEKIL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58619-2024</t>
        </is>
      </c>
      <c r="B100" s="1" t="n">
        <v>45635</v>
      </c>
      <c r="C100" s="1" t="n">
        <v>45802</v>
      </c>
      <c r="D100" t="inlineStr">
        <is>
          <t>VÄSTRA GÖTALANDS LÄN</t>
        </is>
      </c>
      <c r="E100" t="inlineStr">
        <is>
          <t>LYSEKIL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58613-2024</t>
        </is>
      </c>
      <c r="B101" s="1" t="n">
        <v>45635</v>
      </c>
      <c r="C101" s="1" t="n">
        <v>45802</v>
      </c>
      <c r="D101" t="inlineStr">
        <is>
          <t>VÄSTRA GÖTALANDS LÄN</t>
        </is>
      </c>
      <c r="E101" t="inlineStr">
        <is>
          <t>LYSEKIL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60255-2024</t>
        </is>
      </c>
      <c r="B102" s="1" t="n">
        <v>45642</v>
      </c>
      <c r="C102" s="1" t="n">
        <v>45802</v>
      </c>
      <c r="D102" t="inlineStr">
        <is>
          <t>VÄSTRA GÖTALANDS LÄN</t>
        </is>
      </c>
      <c r="E102" t="inlineStr">
        <is>
          <t>LYSEKIL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60262-2024</t>
        </is>
      </c>
      <c r="B103" s="1" t="n">
        <v>45642</v>
      </c>
      <c r="C103" s="1" t="n">
        <v>45802</v>
      </c>
      <c r="D103" t="inlineStr">
        <is>
          <t>VÄSTRA GÖTALANDS LÄN</t>
        </is>
      </c>
      <c r="E103" t="inlineStr">
        <is>
          <t>LYSEKIL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60265-2024</t>
        </is>
      </c>
      <c r="B104" s="1" t="n">
        <v>45642</v>
      </c>
      <c r="C104" s="1" t="n">
        <v>45802</v>
      </c>
      <c r="D104" t="inlineStr">
        <is>
          <t>VÄSTRA GÖTALANDS LÄN</t>
        </is>
      </c>
      <c r="E104" t="inlineStr">
        <is>
          <t>LYSEKIL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61991-2024</t>
        </is>
      </c>
      <c r="B105" s="1" t="n">
        <v>45653</v>
      </c>
      <c r="C105" s="1" t="n">
        <v>45802</v>
      </c>
      <c r="D105" t="inlineStr">
        <is>
          <t>VÄSTRA GÖTALANDS LÄN</t>
        </is>
      </c>
      <c r="E105" t="inlineStr">
        <is>
          <t>LYSEKIL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61985-2024</t>
        </is>
      </c>
      <c r="B106" s="1" t="n">
        <v>45653</v>
      </c>
      <c r="C106" s="1" t="n">
        <v>45802</v>
      </c>
      <c r="D106" t="inlineStr">
        <is>
          <t>VÄSTRA GÖTALANDS LÄN</t>
        </is>
      </c>
      <c r="E106" t="inlineStr">
        <is>
          <t>LYSEKIL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409-2025</t>
        </is>
      </c>
      <c r="B107" s="1" t="n">
        <v>45663</v>
      </c>
      <c r="C107" s="1" t="n">
        <v>45802</v>
      </c>
      <c r="D107" t="inlineStr">
        <is>
          <t>VÄSTRA GÖTALANDS LÄN</t>
        </is>
      </c>
      <c r="E107" t="inlineStr">
        <is>
          <t>LYSEKIL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2058-2025</t>
        </is>
      </c>
      <c r="B108" s="1" t="n">
        <v>45671</v>
      </c>
      <c r="C108" s="1" t="n">
        <v>45802</v>
      </c>
      <c r="D108" t="inlineStr">
        <is>
          <t>VÄSTRA GÖTALANDS LÄN</t>
        </is>
      </c>
      <c r="E108" t="inlineStr">
        <is>
          <t>LYSEKIL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2053-2025</t>
        </is>
      </c>
      <c r="B109" s="1" t="n">
        <v>45671</v>
      </c>
      <c r="C109" s="1" t="n">
        <v>45802</v>
      </c>
      <c r="D109" t="inlineStr">
        <is>
          <t>VÄSTRA GÖTALANDS LÄN</t>
        </is>
      </c>
      <c r="E109" t="inlineStr">
        <is>
          <t>LYSEKIL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2122-2025</t>
        </is>
      </c>
      <c r="B110" s="1" t="n">
        <v>45672</v>
      </c>
      <c r="C110" s="1" t="n">
        <v>45802</v>
      </c>
      <c r="D110" t="inlineStr">
        <is>
          <t>VÄSTRA GÖTALANDS LÄN</t>
        </is>
      </c>
      <c r="E110" t="inlineStr">
        <is>
          <t>LYSEKIL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2269-2025</t>
        </is>
      </c>
      <c r="B111" s="1" t="n">
        <v>45673</v>
      </c>
      <c r="C111" s="1" t="n">
        <v>45802</v>
      </c>
      <c r="D111" t="inlineStr">
        <is>
          <t>VÄSTRA GÖTALANDS LÄN</t>
        </is>
      </c>
      <c r="E111" t="inlineStr">
        <is>
          <t>LYSEKIL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6509-2025</t>
        </is>
      </c>
      <c r="B112" s="1" t="n">
        <v>45699</v>
      </c>
      <c r="C112" s="1" t="n">
        <v>45802</v>
      </c>
      <c r="D112" t="inlineStr">
        <is>
          <t>VÄSTRA GÖTALANDS LÄN</t>
        </is>
      </c>
      <c r="E112" t="inlineStr">
        <is>
          <t>LYSEKIL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6500-2025</t>
        </is>
      </c>
      <c r="B113" s="1" t="n">
        <v>45699</v>
      </c>
      <c r="C113" s="1" t="n">
        <v>45802</v>
      </c>
      <c r="D113" t="inlineStr">
        <is>
          <t>VÄSTRA GÖTALANDS LÄN</t>
        </is>
      </c>
      <c r="E113" t="inlineStr">
        <is>
          <t>LYSEKIL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6491-2025</t>
        </is>
      </c>
      <c r="B114" s="1" t="n">
        <v>45699</v>
      </c>
      <c r="C114" s="1" t="n">
        <v>45802</v>
      </c>
      <c r="D114" t="inlineStr">
        <is>
          <t>VÄSTRA GÖTALANDS LÄN</t>
        </is>
      </c>
      <c r="E114" t="inlineStr">
        <is>
          <t>LYSEKIL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7149-2025</t>
        </is>
      </c>
      <c r="B115" s="1" t="n">
        <v>45702</v>
      </c>
      <c r="C115" s="1" t="n">
        <v>45802</v>
      </c>
      <c r="D115" t="inlineStr">
        <is>
          <t>VÄSTRA GÖTALANDS LÄN</t>
        </is>
      </c>
      <c r="E115" t="inlineStr">
        <is>
          <t>LYSEKIL</t>
        </is>
      </c>
      <c r="G115" t="n">
        <v>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18138-2025</t>
        </is>
      </c>
      <c r="B116" s="1" t="n">
        <v>45761</v>
      </c>
      <c r="C116" s="1" t="n">
        <v>45802</v>
      </c>
      <c r="D116" t="inlineStr">
        <is>
          <t>VÄSTRA GÖTALANDS LÄN</t>
        </is>
      </c>
      <c r="E116" t="inlineStr">
        <is>
          <t>LYSEKIL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18142-2025</t>
        </is>
      </c>
      <c r="B117" s="1" t="n">
        <v>45761</v>
      </c>
      <c r="C117" s="1" t="n">
        <v>45802</v>
      </c>
      <c r="D117" t="inlineStr">
        <is>
          <t>VÄSTRA GÖTALANDS LÄN</t>
        </is>
      </c>
      <c r="E117" t="inlineStr">
        <is>
          <t>LYSEKIL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18143-2025</t>
        </is>
      </c>
      <c r="B118" s="1" t="n">
        <v>45761</v>
      </c>
      <c r="C118" s="1" t="n">
        <v>45802</v>
      </c>
      <c r="D118" t="inlineStr">
        <is>
          <t>VÄSTRA GÖTALANDS LÄN</t>
        </is>
      </c>
      <c r="E118" t="inlineStr">
        <is>
          <t>LYSEKIL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22658-2025</t>
        </is>
      </c>
      <c r="B119" s="1" t="n">
        <v>45789</v>
      </c>
      <c r="C119" s="1" t="n">
        <v>45802</v>
      </c>
      <c r="D119" t="inlineStr">
        <is>
          <t>VÄSTRA GÖTALANDS LÄN</t>
        </is>
      </c>
      <c r="E119" t="inlineStr">
        <is>
          <t>LYSEKIL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22605-2025</t>
        </is>
      </c>
      <c r="B120" s="1" t="n">
        <v>45789</v>
      </c>
      <c r="C120" s="1" t="n">
        <v>45802</v>
      </c>
      <c r="D120" t="inlineStr">
        <is>
          <t>VÄSTRA GÖTALANDS LÄN</t>
        </is>
      </c>
      <c r="E120" t="inlineStr">
        <is>
          <t>LYSEKIL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25395-2025</t>
        </is>
      </c>
      <c r="B121" s="1" t="n">
        <v>45800</v>
      </c>
      <c r="C121" s="1" t="n">
        <v>45802</v>
      </c>
      <c r="D121" t="inlineStr">
        <is>
          <t>VÄSTRA GÖTALANDS LÄN</t>
        </is>
      </c>
      <c r="E121" t="inlineStr">
        <is>
          <t>LYSEKIL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2025-05-25T18:10:35Z</dcterms:created>
  <dcterms:modified xmlns:dcterms="http://purl.org/dc/terms/" xmlns:xsi="http://www.w3.org/2001/XMLSchema-instance" xsi:type="dcterms:W3CDTF">2025-05-25T18:10:35Z</dcterms:modified>
</cp:coreProperties>
</file>