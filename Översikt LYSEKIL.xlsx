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46220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46220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46220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46220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Huggorm</t>
        </is>
      </c>
      <c r="V5">
        <f>HYPERLINK("https://klasma.github.io/Logging_1484/artfynd/A 53422-2023 artfynd.xlsx", "A 53422-2023")</f>
        <v/>
      </c>
      <c r="W5">
        <f>HYPERLINK("https://klasma.github.io/Logging_1484/kartor/A 53422-2023 karta.png", "A 53422-2023")</f>
        <v/>
      </c>
      <c r="Y5">
        <f>HYPERLINK("https://klasma.github.io/Logging_1484/klagomål/A 53422-2023 FSC-klagomål.docx", "A 53422-2023")</f>
        <v/>
      </c>
      <c r="Z5">
        <f>HYPERLINK("https://klasma.github.io/Logging_1484/klagomålsmail/A 53422-2023 FSC-klagomål mail.docx", "A 53422-2023")</f>
        <v/>
      </c>
      <c r="AA5">
        <f>HYPERLINK("https://klasma.github.io/Logging_1484/tillsyn/A 53422-2023 tillsynsbegäran.docx", "A 53422-2023")</f>
        <v/>
      </c>
      <c r="AB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46220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HYPERLINK("https://klasma.github.io/Logging_1484/artfynd/A 60261-2024 artfynd.xlsx", "A 60261-2024")</f>
        <v/>
      </c>
      <c r="W6">
        <f>HYPERLINK("https://klasma.github.io/Logging_1484/kartor/A 60261-2024 karta.png", "A 60261-2024")</f>
        <v/>
      </c>
      <c r="Y6">
        <f>HYPERLINK("https://klasma.github.io/Logging_1484/klagomål/A 60261-2024 FSC-klagomål.docx", "A 60261-2024")</f>
        <v/>
      </c>
      <c r="Z6">
        <f>HYPERLINK("https://klasma.github.io/Logging_1484/klagomålsmail/A 60261-2024 FSC-klagomål mail.docx", "A 60261-2024")</f>
        <v/>
      </c>
      <c r="AA6">
        <f>HYPERLINK("https://klasma.github.io/Logging_1484/tillsyn/A 60261-2024 tillsynsbegäran.docx", "A 60261-2024")</f>
        <v/>
      </c>
      <c r="AB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46220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46220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46220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46220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46220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46220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46220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46220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46220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46220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46220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46220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63886-2023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45278</v>
      </c>
      <c r="E19" s="1" t="n">
        <v>46220</v>
      </c>
      <c r="F19" t="inlineStr">
        <is>
          <t>VÄSTRA GÖTALANDS LÄN</t>
        </is>
      </c>
      <c r="G19" t="inlineStr">
        <is>
          <t>LYSEKIL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58619-2024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45635</v>
      </c>
      <c r="E20" s="1" t="n">
        <v>46220</v>
      </c>
      <c r="F20" t="inlineStr">
        <is>
          <t>VÄSTRA GÖTALANDS LÄN</t>
        </is>
      </c>
      <c r="G20" t="inlineStr">
        <is>
          <t>LYSEKIL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19794-2023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45051</v>
      </c>
      <c r="E21" s="1" t="n">
        <v>46220</v>
      </c>
      <c r="F21" t="inlineStr">
        <is>
          <t>VÄSTRA GÖTALANDS LÄN</t>
        </is>
      </c>
      <c r="G21" t="inlineStr">
        <is>
          <t>LYSEKIL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41581-2023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46220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58789-2022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46220</v>
      </c>
      <c r="F23" t="inlineStr">
        <is>
          <t>VÄSTRA GÖTALANDS LÄN</t>
        </is>
      </c>
      <c r="G23" t="inlineStr">
        <is>
          <t>LYSEKIL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58794-2022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44903</v>
      </c>
      <c r="E24" s="1" t="n">
        <v>46220</v>
      </c>
      <c r="F24" t="inlineStr">
        <is>
          <t>VÄSTRA GÖTALANDS LÄN</t>
        </is>
      </c>
      <c r="G24" t="inlineStr">
        <is>
          <t>LYSEKIL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46220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46220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45436</v>
      </c>
      <c r="E27" s="1" t="n">
        <v>46220</v>
      </c>
      <c r="F27" t="inlineStr">
        <is>
          <t>VÄSTRA GÖTALANDS LÄN</t>
        </is>
      </c>
      <c r="G27" t="inlineStr">
        <is>
          <t>LYSEKIL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46220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46220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46220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43151-2025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45910</v>
      </c>
      <c r="E31" s="1" t="n">
        <v>46220</v>
      </c>
      <c r="F31" t="inlineStr">
        <is>
          <t>VÄSTRA GÖTALANDS LÄN</t>
        </is>
      </c>
      <c r="G31" t="inlineStr">
        <is>
          <t>LYSEKIL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44146-2023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45188</v>
      </c>
      <c r="E32" s="1" t="n">
        <v>46220</v>
      </c>
      <c r="F32" t="inlineStr">
        <is>
          <t>VÄSTRA GÖTALANDS LÄN</t>
        </is>
      </c>
      <c r="G32" t="inlineStr">
        <is>
          <t>LYSEKIL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44022-2025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45915</v>
      </c>
      <c r="E33" s="1" t="n">
        <v>46220</v>
      </c>
      <c r="F33" t="inlineStr">
        <is>
          <t>VÄSTRA GÖTALANDS LÄN</t>
        </is>
      </c>
      <c r="G33" t="inlineStr">
        <is>
          <t>LYSEKIL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35135-2025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45852</v>
      </c>
      <c r="E34" s="1" t="n">
        <v>46220</v>
      </c>
      <c r="F34" t="inlineStr">
        <is>
          <t>VÄSTRA GÖTALANDS LÄN</t>
        </is>
      </c>
      <c r="G34" t="inlineStr">
        <is>
          <t>LYSEKIL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35139-2025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45852</v>
      </c>
      <c r="E35" s="1" t="n">
        <v>46220</v>
      </c>
      <c r="F35" t="inlineStr">
        <is>
          <t>VÄSTRA GÖTALANDS LÄN</t>
        </is>
      </c>
      <c r="G35" t="inlineStr">
        <is>
          <t>LYSEKIL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35640-2025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45859</v>
      </c>
      <c r="E36" s="1" t="n">
        <v>46220</v>
      </c>
      <c r="F36" t="inlineStr">
        <is>
          <t>VÄSTRA GÖTALANDS LÄN</t>
        </is>
      </c>
      <c r="G36" t="inlineStr">
        <is>
          <t>LYSEKIL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60265-2024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46220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53423-2023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46220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46220</v>
      </c>
      <c r="F39" t="inlineStr">
        <is>
          <t>VÄSTRA GÖTALANDS LÄN</t>
        </is>
      </c>
      <c r="G39" t="inlineStr">
        <is>
          <t>LYSEKIL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60255-2024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46220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46220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37077-2023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46220</v>
      </c>
      <c r="F42" t="inlineStr">
        <is>
          <t>VÄSTRA GÖTALANDS LÄN</t>
        </is>
      </c>
      <c r="G42" t="inlineStr">
        <is>
          <t>LYSEKIL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3588-2026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46042</v>
      </c>
      <c r="E43" s="1" t="n">
        <v>46220</v>
      </c>
      <c r="F43" t="inlineStr">
        <is>
          <t>VÄSTRA GÖTALANDS LÄN</t>
        </is>
      </c>
      <c r="G43" t="inlineStr">
        <is>
          <t>LYSEKIL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46220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38036-2025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45881</v>
      </c>
      <c r="E45" s="1" t="n">
        <v>46220</v>
      </c>
      <c r="F45" t="inlineStr">
        <is>
          <t>VÄSTRA GÖTALANDS LÄN</t>
        </is>
      </c>
      <c r="G45" t="inlineStr">
        <is>
          <t>LYSEKIL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48403-2024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46220</v>
      </c>
      <c r="F46" t="inlineStr">
        <is>
          <t>VÄSTRA GÖTALANDS LÄN</t>
        </is>
      </c>
      <c r="G46" t="inlineStr">
        <is>
          <t>LYSEKIL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13246-2024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46220</v>
      </c>
      <c r="F47" t="inlineStr">
        <is>
          <t>VÄSTRA GÖTALANDS LÄN</t>
        </is>
      </c>
      <c r="G47" t="inlineStr">
        <is>
          <t>LYSEKIL</t>
        </is>
      </c>
      <c r="I47" t="n">
        <v>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2269-2025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45673</v>
      </c>
      <c r="E48" s="1" t="n">
        <v>46220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46220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7506-2026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46059</v>
      </c>
      <c r="E50" s="1" t="n">
        <v>46220</v>
      </c>
      <c r="F50" t="inlineStr">
        <is>
          <t>VÄSTRA GÖTALANDS LÄN</t>
        </is>
      </c>
      <c r="G50" t="inlineStr">
        <is>
          <t>LYSEKIL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46220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44536-2024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45574</v>
      </c>
      <c r="E52" s="1" t="n">
        <v>46220</v>
      </c>
      <c r="F52" t="inlineStr">
        <is>
          <t>VÄSTRA GÖTALANDS LÄN</t>
        </is>
      </c>
      <c r="G52" t="inlineStr">
        <is>
          <t>LYSEKIL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57530-2025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45980</v>
      </c>
      <c r="E53" s="1" t="n">
        <v>46220</v>
      </c>
      <c r="F53" t="inlineStr">
        <is>
          <t>VÄSTRA GÖTALANDS LÄN</t>
        </is>
      </c>
      <c r="G53" t="inlineStr">
        <is>
          <t>LYSEKIL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57532-2025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45980</v>
      </c>
      <c r="E54" s="1" t="n">
        <v>46220</v>
      </c>
      <c r="F54" t="inlineStr">
        <is>
          <t>VÄSTRA GÖTALANDS LÄN</t>
        </is>
      </c>
      <c r="G54" t="inlineStr">
        <is>
          <t>LYSEKIL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8464-2023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44977</v>
      </c>
      <c r="E55" s="1" t="n">
        <v>46220</v>
      </c>
      <c r="F55" t="inlineStr">
        <is>
          <t>VÄSTRA GÖTALANDS LÄN</t>
        </is>
      </c>
      <c r="G55" t="inlineStr">
        <is>
          <t>LYSEKIL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46220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46220</v>
      </c>
      <c r="F57" t="inlineStr">
        <is>
          <t>VÄSTRA GÖTALANDS LÄN</t>
        </is>
      </c>
      <c r="G57" t="inlineStr">
        <is>
          <t>LYSEKIL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9149-2026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46220</v>
      </c>
      <c r="F58" t="inlineStr">
        <is>
          <t>VÄSTRA GÖTALANDS LÄN</t>
        </is>
      </c>
      <c r="G58" t="inlineStr">
        <is>
          <t>LYSEKIL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18138-2025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46220</v>
      </c>
      <c r="F59" t="inlineStr">
        <is>
          <t>VÄSTRA GÖTALANDS LÄN</t>
        </is>
      </c>
      <c r="G59" t="inlineStr">
        <is>
          <t>LYSEKIL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18142-2025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46220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18143-2025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46220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60969-2021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46220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10217-2026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46076</v>
      </c>
      <c r="E63" s="1" t="n">
        <v>46220</v>
      </c>
      <c r="F63" t="inlineStr">
        <is>
          <t>VÄSTRA GÖTALANDS LÄN</t>
        </is>
      </c>
      <c r="G63" t="inlineStr">
        <is>
          <t>LYSEKIL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10350-2026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46076</v>
      </c>
      <c r="E64" s="1" t="n">
        <v>46220</v>
      </c>
      <c r="F64" t="inlineStr">
        <is>
          <t>VÄSTRA GÖTALANDS LÄN</t>
        </is>
      </c>
      <c r="G64" t="inlineStr">
        <is>
          <t>LYSEKIL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12186-2026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46086</v>
      </c>
      <c r="E65" s="1" t="n">
        <v>46220</v>
      </c>
      <c r="F65" t="inlineStr">
        <is>
          <t>VÄSTRA GÖTALANDS LÄN</t>
        </is>
      </c>
      <c r="G65" t="inlineStr">
        <is>
          <t>LYSEKIL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12109-2026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46220</v>
      </c>
      <c r="F66" t="inlineStr">
        <is>
          <t>VÄSTRA GÖTALANDS LÄN</t>
        </is>
      </c>
      <c r="G66" t="inlineStr">
        <is>
          <t>LYSEKIL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46220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12523-2026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46220</v>
      </c>
      <c r="F68" t="inlineStr">
        <is>
          <t>VÄSTRA GÖTALANDS LÄN</t>
        </is>
      </c>
      <c r="G68" t="inlineStr">
        <is>
          <t>LYSEKIL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20683-2024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45436</v>
      </c>
      <c r="E69" s="1" t="n">
        <v>46220</v>
      </c>
      <c r="F69" t="inlineStr">
        <is>
          <t>VÄSTRA GÖTALANDS LÄN</t>
        </is>
      </c>
      <c r="G69" t="inlineStr">
        <is>
          <t>LYSEKIL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14123-2026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46099</v>
      </c>
      <c r="E70" s="1" t="n">
        <v>46220</v>
      </c>
      <c r="F70" t="inlineStr">
        <is>
          <t>VÄSTRA GÖTALANDS LÄN</t>
        </is>
      </c>
      <c r="G70" t="inlineStr">
        <is>
          <t>LYSEKIL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16607-2026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46112</v>
      </c>
      <c r="E71" s="1" t="n">
        <v>46220</v>
      </c>
      <c r="F71" t="inlineStr">
        <is>
          <t>VÄSTRA GÖTALANDS LÄN</t>
        </is>
      </c>
      <c r="G71" t="inlineStr">
        <is>
          <t>LYSEKIL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16233-2026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46220</v>
      </c>
      <c r="F72" t="inlineStr">
        <is>
          <t>VÄSTRA GÖTALANDS LÄN</t>
        </is>
      </c>
      <c r="G72" t="inlineStr">
        <is>
          <t>LYSEKIL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44929</v>
      </c>
      <c r="E73" s="1" t="n">
        <v>46220</v>
      </c>
      <c r="F73" t="inlineStr">
        <is>
          <t>VÄSTRA GÖTALANDS LÄN</t>
        </is>
      </c>
      <c r="G73" t="inlineStr">
        <is>
          <t>LYSEKIL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39085-2023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45164</v>
      </c>
      <c r="E74" s="1" t="n">
        <v>46220</v>
      </c>
      <c r="F74" t="inlineStr">
        <is>
          <t>VÄSTRA GÖTALANDS LÄN</t>
        </is>
      </c>
      <c r="G74" t="inlineStr">
        <is>
          <t>LYSEKIL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18831-2026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46220</v>
      </c>
      <c r="F75" t="inlineStr">
        <is>
          <t>VÄSTRA GÖTALANDS LÄN</t>
        </is>
      </c>
      <c r="G75" t="inlineStr">
        <is>
          <t>LYSEKIL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46220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61991-2024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46220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46220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8469-2023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44977</v>
      </c>
      <c r="E79" s="1" t="n">
        <v>46220</v>
      </c>
      <c r="F79" t="inlineStr">
        <is>
          <t>VÄSTRA GÖTALANDS LÄN</t>
        </is>
      </c>
      <c r="G79" t="inlineStr">
        <is>
          <t>LYSEKIL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25009-2023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46220</v>
      </c>
      <c r="F80" t="inlineStr">
        <is>
          <t>VÄSTRA GÖTALANDS LÄN</t>
        </is>
      </c>
      <c r="G80" t="inlineStr">
        <is>
          <t>LYSEKIL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46220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22411-2026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46154</v>
      </c>
      <c r="E82" s="1" t="n">
        <v>46220</v>
      </c>
      <c r="F82" t="inlineStr">
        <is>
          <t>VÄSTRA GÖTALANDS LÄN</t>
        </is>
      </c>
      <c r="G82" t="inlineStr">
        <is>
          <t>LYSEKIL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22407-2026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46154</v>
      </c>
      <c r="E83" s="1" t="n">
        <v>46220</v>
      </c>
      <c r="F83" t="inlineStr">
        <is>
          <t>VÄSTRA GÖTALANDS LÄN</t>
        </is>
      </c>
      <c r="G83" t="inlineStr">
        <is>
          <t>LYSEKIL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22793-2026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46157</v>
      </c>
      <c r="E84" s="1" t="n">
        <v>46220</v>
      </c>
      <c r="F84" t="inlineStr">
        <is>
          <t>VÄSTRA GÖTALANDS LÄN</t>
        </is>
      </c>
      <c r="G84" t="inlineStr">
        <is>
          <t>LYSEKIL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43028-2023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45182</v>
      </c>
      <c r="E85" s="1" t="n">
        <v>46220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13239-2024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46220</v>
      </c>
      <c r="F86" t="inlineStr">
        <is>
          <t>VÄSTRA GÖTALANDS LÄN</t>
        </is>
      </c>
      <c r="G86" t="inlineStr">
        <is>
          <t>LYSEKIL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10579-2024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45366</v>
      </c>
      <c r="E87" s="1" t="n">
        <v>46220</v>
      </c>
      <c r="F87" t="inlineStr">
        <is>
          <t>VÄSTRA GÖTALANDS LÄN</t>
        </is>
      </c>
      <c r="G87" t="inlineStr">
        <is>
          <t>LYSEKIL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3408-2024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45319</v>
      </c>
      <c r="E88" s="1" t="n">
        <v>46220</v>
      </c>
      <c r="F88" t="inlineStr">
        <is>
          <t>VÄSTRA GÖTALANDS LÄN</t>
        </is>
      </c>
      <c r="G88" t="inlineStr">
        <is>
          <t>LYSEKIL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37583-2024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46220</v>
      </c>
      <c r="F89" t="inlineStr">
        <is>
          <t>VÄSTRA GÖTALANDS LÄN</t>
        </is>
      </c>
      <c r="G89" t="inlineStr">
        <is>
          <t>LYSEKIL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13250-2024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46220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59223-2022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44899</v>
      </c>
      <c r="E91" s="1" t="n">
        <v>46220</v>
      </c>
      <c r="F91" t="inlineStr">
        <is>
          <t>VÄSTRA GÖTALANDS LÄN</t>
        </is>
      </c>
      <c r="G91" t="inlineStr">
        <is>
          <t>LYSEKIL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46220</v>
      </c>
      <c r="F92" t="inlineStr">
        <is>
          <t>VÄSTRA GÖTALANDS LÄN</t>
        </is>
      </c>
      <c r="G92" t="inlineStr">
        <is>
          <t>LYSEKIL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22605-2025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45789</v>
      </c>
      <c r="E93" s="1" t="n">
        <v>46220</v>
      </c>
      <c r="F93" t="inlineStr">
        <is>
          <t>VÄSTRA GÖTALANDS LÄN</t>
        </is>
      </c>
      <c r="G93" t="inlineStr">
        <is>
          <t>LYSEKIL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46220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2026-07-17T01:41:54Z</dcterms:created>
  <dcterms:modified xmlns:dcterms="http://purl.org/dc/terms/" xmlns:xsi="http://www.w3.org/2001/XMLSchema-instance" xsi:type="dcterms:W3CDTF">2026-07-17T01:41:54Z</dcterms:modified>
</cp:coreProperties>
</file>