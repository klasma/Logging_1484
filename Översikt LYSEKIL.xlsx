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44429-2021</t>
        </is>
      </c>
      <c r="B3" s="1" t="n">
        <v>44435</v>
      </c>
      <c r="C3" s="1" t="n">
        <v>46040</v>
      </c>
      <c r="D3" t="inlineStr">
        <is>
          <t>VÄSTRA GÖTALANDS LÄN</t>
        </is>
      </c>
      <c r="E3" t="inlineStr">
        <is>
          <t>LYSEKIL</t>
        </is>
      </c>
      <c r="G3" t="n">
        <v>1.8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Nattskärra</t>
        </is>
      </c>
      <c r="S3">
        <f>HYPERLINK("https://klasma.github.io/Logging_1484/artfynd/A 44429-2021 artfynd.xlsx", "A 44429-2021")</f>
        <v/>
      </c>
      <c r="T3">
        <f>HYPERLINK("https://klasma.github.io/Logging_1484/kartor/A 44429-2021 karta.png", "A 44429-2021")</f>
        <v/>
      </c>
      <c r="V3">
        <f>HYPERLINK("https://klasma.github.io/Logging_1484/klagomål/A 44429-2021 FSC-klagomål.docx", "A 44429-2021")</f>
        <v/>
      </c>
      <c r="W3">
        <f>HYPERLINK("https://klasma.github.io/Logging_1484/klagomålsmail/A 44429-2021 FSC-klagomål mail.docx", "A 44429-2021")</f>
        <v/>
      </c>
      <c r="X3">
        <f>HYPERLINK("https://klasma.github.io/Logging_1484/tillsyn/A 44429-2021 tillsynsbegäran.docx", "A 44429-2021")</f>
        <v/>
      </c>
      <c r="Y3">
        <f>HYPERLINK("https://klasma.github.io/Logging_1484/tillsynsmail/A 44429-2021 tillsynsbegäran mail.docx", "A 44429-2021")</f>
        <v/>
      </c>
      <c r="Z3">
        <f>HYPERLINK("https://klasma.github.io/Logging_1484/fåglar/A 44429-2021 prioriterade fågelarter.docx", "A 44429-2021")</f>
        <v/>
      </c>
    </row>
    <row r="4" ht="15" customHeight="1">
      <c r="A4" t="inlineStr">
        <is>
          <t>A 16879-2022</t>
        </is>
      </c>
      <c r="B4" s="1" t="n">
        <v>44675.91282407408</v>
      </c>
      <c r="C4" s="1" t="n">
        <v>46040</v>
      </c>
      <c r="D4" t="inlineStr">
        <is>
          <t>VÄSTRA GÖTALANDS LÄN</t>
        </is>
      </c>
      <c r="E4" t="inlineStr">
        <is>
          <t>LYSEKIL</t>
        </is>
      </c>
      <c r="G4" t="n">
        <v>3.3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HYPERLINK("https://klasma.github.io/Logging_1484/artfynd/A 16879-2022 artfynd.xlsx", "A 16879-2022")</f>
        <v/>
      </c>
      <c r="T4">
        <f>HYPERLINK("https://klasma.github.io/Logging_1484/kartor/A 16879-2022 karta.png", "A 16879-2022")</f>
        <v/>
      </c>
      <c r="V4">
        <f>HYPERLINK("https://klasma.github.io/Logging_1484/klagomål/A 16879-2022 FSC-klagomål.docx", "A 16879-2022")</f>
        <v/>
      </c>
      <c r="W4">
        <f>HYPERLINK("https://klasma.github.io/Logging_1484/klagomålsmail/A 16879-2022 FSC-klagomål mail.docx", "A 16879-2022")</f>
        <v/>
      </c>
      <c r="X4">
        <f>HYPERLINK("https://klasma.github.io/Logging_1484/tillsyn/A 16879-2022 tillsynsbegäran.docx", "A 16879-2022")</f>
        <v/>
      </c>
      <c r="Y4">
        <f>HYPERLINK("https://klasma.github.io/Logging_1484/tillsynsmail/A 16879-2022 tillsynsbegäran mail.docx", "A 16879-2022")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46040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46040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46040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15108-2023</t>
        </is>
      </c>
      <c r="B10" s="1" t="n">
        <v>45016</v>
      </c>
      <c r="C10" s="1" t="n">
        <v>46040</v>
      </c>
      <c r="D10" t="inlineStr">
        <is>
          <t>VÄSTRA GÖTALANDS LÄN</t>
        </is>
      </c>
      <c r="E10" t="inlineStr">
        <is>
          <t>LYSEKIL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HYPERLINK("https://klasma.github.io/Logging_1484/artfynd/A 15108-2023 artfynd.xlsx", "A 15108-2023")</f>
        <v/>
      </c>
      <c r="T10">
        <f>HYPERLINK("https://klasma.github.io/Logging_1484/kartor/A 15108-2023 karta.png", "A 15108-2023")</f>
        <v/>
      </c>
      <c r="V10">
        <f>HYPERLINK("https://klasma.github.io/Logging_1484/klagomål/A 15108-2023 FSC-klagomål.docx", "A 15108-2023")</f>
        <v/>
      </c>
      <c r="W10">
        <f>HYPERLINK("https://klasma.github.io/Logging_1484/klagomålsmail/A 15108-2023 FSC-klagomål mail.docx", "A 15108-2023")</f>
        <v/>
      </c>
      <c r="X10">
        <f>HYPERLINK("https://klasma.github.io/Logging_1484/tillsyn/A 15108-2023 tillsynsbegäran.docx", "A 15108-2023")</f>
        <v/>
      </c>
      <c r="Y10">
        <f>HYPERLINK("https://klasma.github.io/Logging_1484/tillsynsmail/A 15108-2023 tillsynsbegäran mail.docx", "A 15108-2023")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46040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46040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46040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38036-2025</t>
        </is>
      </c>
      <c r="B24" s="1" t="n">
        <v>45881</v>
      </c>
      <c r="C24" s="1" t="n">
        <v>46040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2058-2025</t>
        </is>
      </c>
      <c r="B25" s="1" t="n">
        <v>45671</v>
      </c>
      <c r="C25" s="1" t="n">
        <v>46040</v>
      </c>
      <c r="D25" t="inlineStr">
        <is>
          <t>VÄSTRA GÖTALANDS LÄN</t>
        </is>
      </c>
      <c r="E25" t="inlineStr">
        <is>
          <t>LYSEKIL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40154-2025</t>
        </is>
      </c>
      <c r="B26" s="1" t="n">
        <v>45894.5980787037</v>
      </c>
      <c r="C26" s="1" t="n">
        <v>46040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46040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45895.480625</v>
      </c>
      <c r="C28" s="1" t="n">
        <v>46040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58793-2022</t>
        </is>
      </c>
      <c r="B29" s="1" t="n">
        <v>44903.42074074074</v>
      </c>
      <c r="C29" s="1" t="n">
        <v>46040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57532-2025</t>
        </is>
      </c>
      <c r="B30" s="1" t="n">
        <v>45980.63876157408</v>
      </c>
      <c r="C30" s="1" t="n">
        <v>46040</v>
      </c>
      <c r="D30" t="inlineStr">
        <is>
          <t>VÄSTRA GÖTALANDS LÄN</t>
        </is>
      </c>
      <c r="E30" t="inlineStr">
        <is>
          <t>LYSEKIL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46040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57530-2025</t>
        </is>
      </c>
      <c r="B32" s="1" t="n">
        <v>45980.63579861111</v>
      </c>
      <c r="C32" s="1" t="n">
        <v>46040</v>
      </c>
      <c r="D32" t="inlineStr">
        <is>
          <t>VÄSTRA GÖTALANDS LÄN</t>
        </is>
      </c>
      <c r="E32" t="inlineStr">
        <is>
          <t>LYSEKIL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46040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46040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43151-2025</t>
        </is>
      </c>
      <c r="B35" s="1" t="n">
        <v>45910.33892361111</v>
      </c>
      <c r="C35" s="1" t="n">
        <v>46040</v>
      </c>
      <c r="D35" t="inlineStr">
        <is>
          <t>VÄSTRA GÖTALANDS LÄN</t>
        </is>
      </c>
      <c r="E35" t="inlineStr">
        <is>
          <t>LYSEKIL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10579-2024</t>
        </is>
      </c>
      <c r="B36" s="1" t="n">
        <v>45366.66769675926</v>
      </c>
      <c r="C36" s="1" t="n">
        <v>46040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44022-2025</t>
        </is>
      </c>
      <c r="B37" s="1" t="n">
        <v>45915.47851851852</v>
      </c>
      <c r="C37" s="1" t="n">
        <v>46040</v>
      </c>
      <c r="D37" t="inlineStr">
        <is>
          <t>VÄSTRA GÖTALANDS LÄN</t>
        </is>
      </c>
      <c r="E37" t="inlineStr">
        <is>
          <t>LYSEKIL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46040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1265-2026</t>
        </is>
      </c>
      <c r="B39" s="1" t="n">
        <v>46031.46165509259</v>
      </c>
      <c r="C39" s="1" t="n">
        <v>46040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25009-2023</t>
        </is>
      </c>
      <c r="B40" s="1" t="n">
        <v>45085</v>
      </c>
      <c r="C40" s="1" t="n">
        <v>46040</v>
      </c>
      <c r="D40" t="inlineStr">
        <is>
          <t>VÄSTRA GÖTALANDS LÄN</t>
        </is>
      </c>
      <c r="E40" t="inlineStr">
        <is>
          <t>LYSEKIL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44536-2024</t>
        </is>
      </c>
      <c r="B41" s="1" t="n">
        <v>45574.45354166667</v>
      </c>
      <c r="C41" s="1" t="n">
        <v>46040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60262-2024</t>
        </is>
      </c>
      <c r="B42" s="1" t="n">
        <v>45642</v>
      </c>
      <c r="C42" s="1" t="n">
        <v>46040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60265-2024</t>
        </is>
      </c>
      <c r="B43" s="1" t="n">
        <v>45642</v>
      </c>
      <c r="C43" s="1" t="n">
        <v>46040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46040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46040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46040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46040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46040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2053-2025</t>
        </is>
      </c>
      <c r="B49" s="1" t="n">
        <v>45671</v>
      </c>
      <c r="C49" s="1" t="n">
        <v>46040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49105-2025</t>
        </is>
      </c>
      <c r="B50" s="1" t="n">
        <v>45937.72574074074</v>
      </c>
      <c r="C50" s="1" t="n">
        <v>46040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34623-2025</t>
        </is>
      </c>
      <c r="B51" s="1" t="n">
        <v>45847</v>
      </c>
      <c r="C51" s="1" t="n">
        <v>46040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61991-2024</t>
        </is>
      </c>
      <c r="B52" s="1" t="n">
        <v>45653.70577546296</v>
      </c>
      <c r="C52" s="1" t="n">
        <v>46040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46040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53191-2025</t>
        </is>
      </c>
      <c r="B54" s="1" t="n">
        <v>45958.56690972222</v>
      </c>
      <c r="C54" s="1" t="n">
        <v>46040</v>
      </c>
      <c r="D54" t="inlineStr">
        <is>
          <t>VÄSTRA GÖTALANDS LÄN</t>
        </is>
      </c>
      <c r="E54" t="inlineStr">
        <is>
          <t>LYSEKIL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46040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46040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58789-2022</t>
        </is>
      </c>
      <c r="B57" s="1" t="n">
        <v>44903.41709490741</v>
      </c>
      <c r="C57" s="1" t="n">
        <v>46040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58794-2022</t>
        </is>
      </c>
      <c r="B58" s="1" t="n">
        <v>44903.42262731482</v>
      </c>
      <c r="C58" s="1" t="n">
        <v>46040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47304-2022</t>
        </is>
      </c>
      <c r="B59" s="1" t="n">
        <v>44853</v>
      </c>
      <c r="C59" s="1" t="n">
        <v>46040</v>
      </c>
      <c r="D59" t="inlineStr">
        <is>
          <t>VÄSTRA GÖTALANDS LÄN</t>
        </is>
      </c>
      <c r="E59" t="inlineStr">
        <is>
          <t>LYSEKIL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54366-2025</t>
        </is>
      </c>
      <c r="B60" s="1" t="n">
        <v>45965.40274305556</v>
      </c>
      <c r="C60" s="1" t="n">
        <v>46040</v>
      </c>
      <c r="D60" t="inlineStr">
        <is>
          <t>VÄSTRA GÖTALANDS LÄN</t>
        </is>
      </c>
      <c r="E60" t="inlineStr">
        <is>
          <t>LYSEKIL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46040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20683-2024</t>
        </is>
      </c>
      <c r="B62" s="1" t="n">
        <v>45436.58328703704</v>
      </c>
      <c r="C62" s="1" t="n">
        <v>46040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37149-2023</t>
        </is>
      </c>
      <c r="B63" s="1" t="n">
        <v>45155</v>
      </c>
      <c r="C63" s="1" t="n">
        <v>46040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46040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8464-2023</t>
        </is>
      </c>
      <c r="B65" s="1" t="n">
        <v>44977.49489583333</v>
      </c>
      <c r="C65" s="1" t="n">
        <v>46040</v>
      </c>
      <c r="D65" t="inlineStr">
        <is>
          <t>VÄSTRA GÖTALANDS LÄN</t>
        </is>
      </c>
      <c r="E65" t="inlineStr">
        <is>
          <t>LYSEKIL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7149-2025</t>
        </is>
      </c>
      <c r="B66" s="1" t="n">
        <v>45702.37914351852</v>
      </c>
      <c r="C66" s="1" t="n">
        <v>46040</v>
      </c>
      <c r="D66" t="inlineStr">
        <is>
          <t>VÄSTRA GÖTALANDS LÄN</t>
        </is>
      </c>
      <c r="E66" t="inlineStr">
        <is>
          <t>LYSEKIL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60969-2021</t>
        </is>
      </c>
      <c r="B67" s="1" t="n">
        <v>44497.5580787037</v>
      </c>
      <c r="C67" s="1" t="n">
        <v>46040</v>
      </c>
      <c r="D67" t="inlineStr">
        <is>
          <t>VÄSTRA GÖTALANDS LÄN</t>
        </is>
      </c>
      <c r="E67" t="inlineStr">
        <is>
          <t>LYSEKIL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43028-2023</t>
        </is>
      </c>
      <c r="B68" s="1" t="n">
        <v>45182</v>
      </c>
      <c r="C68" s="1" t="n">
        <v>46040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46040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13239-2024</t>
        </is>
      </c>
      <c r="B70" s="1" t="n">
        <v>45386.5583449074</v>
      </c>
      <c r="C70" s="1" t="n">
        <v>46040</v>
      </c>
      <c r="D70" t="inlineStr">
        <is>
          <t>VÄSTRA GÖTALANDS LÄN</t>
        </is>
      </c>
      <c r="E70" t="inlineStr">
        <is>
          <t>LYSEKIL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39085-2023</t>
        </is>
      </c>
      <c r="B71" s="1" t="n">
        <v>45164.34875</v>
      </c>
      <c r="C71" s="1" t="n">
        <v>46040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46040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46040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46040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44977.50395833333</v>
      </c>
      <c r="C75" s="1" t="n">
        <v>46040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18138-2025</t>
        </is>
      </c>
      <c r="B76" s="1" t="n">
        <v>45761.60342592592</v>
      </c>
      <c r="C76" s="1" t="n">
        <v>46040</v>
      </c>
      <c r="D76" t="inlineStr">
        <is>
          <t>VÄSTRA GÖTALANDS LÄN</t>
        </is>
      </c>
      <c r="E76" t="inlineStr">
        <is>
          <t>LYSEKIL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18142-2025</t>
        </is>
      </c>
      <c r="B77" s="1" t="n">
        <v>45761.60667824074</v>
      </c>
      <c r="C77" s="1" t="n">
        <v>46040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18143-2025</t>
        </is>
      </c>
      <c r="B78" s="1" t="n">
        <v>45761.60916666667</v>
      </c>
      <c r="C78" s="1" t="n">
        <v>46040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46040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2269-2025</t>
        </is>
      </c>
      <c r="B80" s="1" t="n">
        <v>45673.54107638889</v>
      </c>
      <c r="C80" s="1" t="n">
        <v>46040</v>
      </c>
      <c r="D80" t="inlineStr">
        <is>
          <t>VÄSTRA GÖTALANDS LÄN</t>
        </is>
      </c>
      <c r="E80" t="inlineStr">
        <is>
          <t>LYSEKIL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6500-2025</t>
        </is>
      </c>
      <c r="B81" s="1" t="n">
        <v>45699.64050925926</v>
      </c>
      <c r="C81" s="1" t="n">
        <v>46040</v>
      </c>
      <c r="D81" t="inlineStr">
        <is>
          <t>VÄSTRA GÖTALANDS LÄN</t>
        </is>
      </c>
      <c r="E81" t="inlineStr">
        <is>
          <t>LYSEKIL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25657-2021</t>
        </is>
      </c>
      <c r="B82" s="1" t="n">
        <v>44343.55598379629</v>
      </c>
      <c r="C82" s="1" t="n">
        <v>46040</v>
      </c>
      <c r="D82" t="inlineStr">
        <is>
          <t>VÄSTRA GÖTALANDS LÄN</t>
        </is>
      </c>
      <c r="E82" t="inlineStr">
        <is>
          <t>LYSEKIL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61985-2024</t>
        </is>
      </c>
      <c r="B83" s="1" t="n">
        <v>45653.67324074074</v>
      </c>
      <c r="C83" s="1" t="n">
        <v>46040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13250-2024</t>
        </is>
      </c>
      <c r="B84" s="1" t="n">
        <v>45386.5759375</v>
      </c>
      <c r="C84" s="1" t="n">
        <v>46040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3408-2024</t>
        </is>
      </c>
      <c r="B85" s="1" t="n">
        <v>45319</v>
      </c>
      <c r="C85" s="1" t="n">
        <v>46040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46040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6509-2025</t>
        </is>
      </c>
      <c r="B87" s="1" t="n">
        <v>45699.65163194444</v>
      </c>
      <c r="C87" s="1" t="n">
        <v>46040</v>
      </c>
      <c r="D87" t="inlineStr">
        <is>
          <t>VÄSTRA GÖTALANDS LÄN</t>
        </is>
      </c>
      <c r="E87" t="inlineStr">
        <is>
          <t>LYSEKIL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52-2024</t>
        </is>
      </c>
      <c r="B88" s="1" t="n">
        <v>45293</v>
      </c>
      <c r="C88" s="1" t="n">
        <v>46040</v>
      </c>
      <c r="D88" t="inlineStr">
        <is>
          <t>VÄSTRA GÖTALANDS LÄN</t>
        </is>
      </c>
      <c r="E88" t="inlineStr">
        <is>
          <t>LYSEKIL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22658-2025</t>
        </is>
      </c>
      <c r="B89" s="1" t="n">
        <v>45789.47318287037</v>
      </c>
      <c r="C89" s="1" t="n">
        <v>46040</v>
      </c>
      <c r="D89" t="inlineStr">
        <is>
          <t>VÄSTRA GÖTALANDS LÄN</t>
        </is>
      </c>
      <c r="E89" t="inlineStr">
        <is>
          <t>LYSEKIL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22605-2025</t>
        </is>
      </c>
      <c r="B90" s="1" t="n">
        <v>45789</v>
      </c>
      <c r="C90" s="1" t="n">
        <v>46040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58619-2024</t>
        </is>
      </c>
      <c r="B91" s="1" t="n">
        <v>45635.56216435185</v>
      </c>
      <c r="C91" s="1" t="n">
        <v>46040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41581-2023</t>
        </is>
      </c>
      <c r="B92" s="1" t="n">
        <v>45173</v>
      </c>
      <c r="C92" s="1" t="n">
        <v>46040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19794-2023</t>
        </is>
      </c>
      <c r="B93" s="1" t="n">
        <v>45051</v>
      </c>
      <c r="C93" s="1" t="n">
        <v>46040</v>
      </c>
      <c r="D93" t="inlineStr">
        <is>
          <t>VÄSTRA GÖTALANDS LÄN</t>
        </is>
      </c>
      <c r="E93" t="inlineStr">
        <is>
          <t>LYSEKIL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63886-2023</t>
        </is>
      </c>
      <c r="B94" s="1" t="n">
        <v>45278</v>
      </c>
      <c r="C94" s="1" t="n">
        <v>46040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25395-2025</t>
        </is>
      </c>
      <c r="B95" s="1" t="n">
        <v>45800.64942129629</v>
      </c>
      <c r="C95" s="1" t="n">
        <v>46040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20685-2024</t>
        </is>
      </c>
      <c r="B96" s="1" t="n">
        <v>45436.58555555555</v>
      </c>
      <c r="C96" s="1" t="n">
        <v>46040</v>
      </c>
      <c r="D96" t="inlineStr">
        <is>
          <t>VÄSTRA GÖTALANDS LÄN</t>
        </is>
      </c>
      <c r="E96" t="inlineStr">
        <is>
          <t>LYSEKIL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35144-2025</t>
        </is>
      </c>
      <c r="B97" s="1" t="n">
        <v>45852.65833333333</v>
      </c>
      <c r="C97" s="1" t="n">
        <v>46040</v>
      </c>
      <c r="D97" t="inlineStr">
        <is>
          <t>VÄSTRA GÖTALANDS LÄN</t>
        </is>
      </c>
      <c r="E97" t="inlineStr">
        <is>
          <t>LYSEKIL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45852.64978009259</v>
      </c>
      <c r="C98" s="1" t="n">
        <v>46040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46040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35640-2025</t>
        </is>
      </c>
      <c r="B100" s="1" t="n">
        <v>45859.47606481481</v>
      </c>
      <c r="C100" s="1" t="n">
        <v>46040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2026-01-18T10:56:36Z</dcterms:created>
  <dcterms:modified xmlns:dcterms="http://purl.org/dc/terms/" xmlns:xsi="http://www.w3.org/2001/XMLSchema-instance" xsi:type="dcterms:W3CDTF">2026-01-18T10:56:36Z</dcterms:modified>
</cp:coreProperties>
</file>