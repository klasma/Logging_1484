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46163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46163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46163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46163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46163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46163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61174-2025</t>
        </is>
      </c>
      <c r="B11" s="1" t="n">
        <v>46000</v>
      </c>
      <c r="C11" s="1" t="n">
        <v>46163</v>
      </c>
      <c r="D11" t="inlineStr">
        <is>
          <t>VÄSTRA GÖTALANDS LÄN</t>
        </is>
      </c>
      <c r="E11" t="inlineStr">
        <is>
          <t>LYSEKIL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61174-2025 artfynd.xlsx", "A 61174-2025")</f>
        <v/>
      </c>
      <c r="T11">
        <f>HYPERLINK("https://klasma.github.io/Logging_1484/kartor/A 61174-2025 karta.png", "A 61174-2025")</f>
        <v/>
      </c>
      <c r="V11">
        <f>HYPERLINK("https://klasma.github.io/Logging_1484/klagomål/A 61174-2025 FSC-klagomål.docx", "A 61174-2025")</f>
        <v/>
      </c>
      <c r="W11">
        <f>HYPERLINK("https://klasma.github.io/Logging_1484/klagomålsmail/A 61174-2025 FSC-klagomål mail.docx", "A 61174-2025")</f>
        <v/>
      </c>
      <c r="X11">
        <f>HYPERLINK("https://klasma.github.io/Logging_1484/tillsyn/A 61174-2025 tillsynsbegäran.docx", "A 61174-2025")</f>
        <v/>
      </c>
      <c r="Y11">
        <f>HYPERLINK("https://klasma.github.io/Logging_1484/tillsynsmail/A 61174-2025 tillsynsbegäran mail.docx", "A 61174-2025")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46163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46163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46163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46163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46163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46163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46163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46163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46163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46163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46163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46163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47304-2022</t>
        </is>
      </c>
      <c r="B24" s="1" t="n">
        <v>44853</v>
      </c>
      <c r="C24" s="1" t="n">
        <v>46163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2053-2025</t>
        </is>
      </c>
      <c r="B25" s="1" t="n">
        <v>45671</v>
      </c>
      <c r="C25" s="1" t="n">
        <v>46163</v>
      </c>
      <c r="D25" t="inlineStr">
        <is>
          <t>VÄSTRA GÖTALANDS LÄN</t>
        </is>
      </c>
      <c r="E25" t="inlineStr">
        <is>
          <t>LYSEKIL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58789-2022</t>
        </is>
      </c>
      <c r="B26" s="1" t="n">
        <v>44903.41709490741</v>
      </c>
      <c r="C26" s="1" t="n">
        <v>46163</v>
      </c>
      <c r="D26" t="inlineStr">
        <is>
          <t>VÄSTRA GÖTALANDS LÄN</t>
        </is>
      </c>
      <c r="E26" t="inlineStr">
        <is>
          <t>LYSEKIL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58794-2022</t>
        </is>
      </c>
      <c r="B27" s="1" t="n">
        <v>44903.42262731482</v>
      </c>
      <c r="C27" s="1" t="n">
        <v>46163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44146-2023</t>
        </is>
      </c>
      <c r="B28" s="1" t="n">
        <v>45188</v>
      </c>
      <c r="C28" s="1" t="n">
        <v>46163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7509-2026</t>
        </is>
      </c>
      <c r="B29" s="1" t="n">
        <v>46059.58040509259</v>
      </c>
      <c r="C29" s="1" t="n">
        <v>46163</v>
      </c>
      <c r="D29" t="inlineStr">
        <is>
          <t>VÄSTRA GÖTALANDS LÄN</t>
        </is>
      </c>
      <c r="E29" t="inlineStr">
        <is>
          <t>LYSEKIL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46163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46163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46163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8328-2026</t>
        </is>
      </c>
      <c r="B33" s="1" t="n">
        <v>46064.62018518519</v>
      </c>
      <c r="C33" s="1" t="n">
        <v>46163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37077-2023</t>
        </is>
      </c>
      <c r="B34" s="1" t="n">
        <v>45155.48460648148</v>
      </c>
      <c r="C34" s="1" t="n">
        <v>46163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35144-2025</t>
        </is>
      </c>
      <c r="B35" s="1" t="n">
        <v>45852.65833333333</v>
      </c>
      <c r="C35" s="1" t="n">
        <v>46163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35135-2025</t>
        </is>
      </c>
      <c r="B36" s="1" t="n">
        <v>45852.64123842592</v>
      </c>
      <c r="C36" s="1" t="n">
        <v>46163</v>
      </c>
      <c r="D36" t="inlineStr">
        <is>
          <t>VÄSTRA GÖTALANDS LÄN</t>
        </is>
      </c>
      <c r="E36" t="inlineStr">
        <is>
          <t>LYSEKIL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35139-2025</t>
        </is>
      </c>
      <c r="B37" s="1" t="n">
        <v>45852.64978009259</v>
      </c>
      <c r="C37" s="1" t="n">
        <v>46163</v>
      </c>
      <c r="D37" t="inlineStr">
        <is>
          <t>VÄSTRA GÖTALANDS LÄN</t>
        </is>
      </c>
      <c r="E37" t="inlineStr">
        <is>
          <t>LYSEKIL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46163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46163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48403-2024</t>
        </is>
      </c>
      <c r="B40" s="1" t="n">
        <v>45590.61787037037</v>
      </c>
      <c r="C40" s="1" t="n">
        <v>46163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35640-2025</t>
        </is>
      </c>
      <c r="B41" s="1" t="n">
        <v>45859.47606481481</v>
      </c>
      <c r="C41" s="1" t="n">
        <v>46163</v>
      </c>
      <c r="D41" t="inlineStr">
        <is>
          <t>VÄSTRA GÖTALANDS LÄN</t>
        </is>
      </c>
      <c r="E41" t="inlineStr">
        <is>
          <t>LYSEKIL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46163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46163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46163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46163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9149-2026</t>
        </is>
      </c>
      <c r="B46" s="1" t="n">
        <v>46070.31185185185</v>
      </c>
      <c r="C46" s="1" t="n">
        <v>46163</v>
      </c>
      <c r="D46" t="inlineStr">
        <is>
          <t>VÄSTRA GÖTALANDS LÄN</t>
        </is>
      </c>
      <c r="E46" t="inlineStr">
        <is>
          <t>LYSEKIL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38036-2025</t>
        </is>
      </c>
      <c r="B47" s="1" t="n">
        <v>45881</v>
      </c>
      <c r="C47" s="1" t="n">
        <v>46163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44536-2024</t>
        </is>
      </c>
      <c r="B48" s="1" t="n">
        <v>45574.45354166667</v>
      </c>
      <c r="C48" s="1" t="n">
        <v>46163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46163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8464-2023</t>
        </is>
      </c>
      <c r="B50" s="1" t="n">
        <v>44977.49489583333</v>
      </c>
      <c r="C50" s="1" t="n">
        <v>46163</v>
      </c>
      <c r="D50" t="inlineStr">
        <is>
          <t>VÄSTRA GÖTALANDS LÄN</t>
        </is>
      </c>
      <c r="E50" t="inlineStr">
        <is>
          <t>LYSEKIL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6500-2025</t>
        </is>
      </c>
      <c r="B51" s="1" t="n">
        <v>45699.64050925926</v>
      </c>
      <c r="C51" s="1" t="n">
        <v>46163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46163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10217-2026</t>
        </is>
      </c>
      <c r="B53" s="1" t="n">
        <v>46076</v>
      </c>
      <c r="C53" s="1" t="n">
        <v>46163</v>
      </c>
      <c r="D53" t="inlineStr">
        <is>
          <t>VÄSTRA GÖTALANDS LÄN</t>
        </is>
      </c>
      <c r="E53" t="inlineStr">
        <is>
          <t>LYSEKIL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10350-2026</t>
        </is>
      </c>
      <c r="B54" s="1" t="n">
        <v>46076.70521990741</v>
      </c>
      <c r="C54" s="1" t="n">
        <v>46163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18193-2026</t>
        </is>
      </c>
      <c r="B55" s="1" t="n">
        <v>46125.78215277778</v>
      </c>
      <c r="C55" s="1" t="n">
        <v>46163</v>
      </c>
      <c r="D55" t="inlineStr">
        <is>
          <t>VÄSTRA GÖTALANDS LÄN</t>
        </is>
      </c>
      <c r="E55" t="inlineStr">
        <is>
          <t>LYSEKIL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48148-2025</t>
        </is>
      </c>
      <c r="B56" s="1" t="n">
        <v>45933.40649305555</v>
      </c>
      <c r="C56" s="1" t="n">
        <v>46163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46163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53423-2023</t>
        </is>
      </c>
      <c r="B58" s="1" t="n">
        <v>45229</v>
      </c>
      <c r="C58" s="1" t="n">
        <v>46163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60262-2024</t>
        </is>
      </c>
      <c r="B59" s="1" t="n">
        <v>45642</v>
      </c>
      <c r="C59" s="1" t="n">
        <v>46163</v>
      </c>
      <c r="D59" t="inlineStr">
        <is>
          <t>VÄSTRA GÖTALANDS LÄN</t>
        </is>
      </c>
      <c r="E59" t="inlineStr">
        <is>
          <t>LYSEKIL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60255-2024</t>
        </is>
      </c>
      <c r="B60" s="1" t="n">
        <v>45642</v>
      </c>
      <c r="C60" s="1" t="n">
        <v>46163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46163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12186-2026</t>
        </is>
      </c>
      <c r="B62" s="1" t="n">
        <v>46086.73836805556</v>
      </c>
      <c r="C62" s="1" t="n">
        <v>46163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12109-2026</t>
        </is>
      </c>
      <c r="B63" s="1" t="n">
        <v>46086</v>
      </c>
      <c r="C63" s="1" t="n">
        <v>46163</v>
      </c>
      <c r="D63" t="inlineStr">
        <is>
          <t>VÄSTRA GÖTALANDS LÄN</t>
        </is>
      </c>
      <c r="E63" t="inlineStr">
        <is>
          <t>LYSEKIL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12532-2026</t>
        </is>
      </c>
      <c r="B64" s="1" t="n">
        <v>46090.60273148148</v>
      </c>
      <c r="C64" s="1" t="n">
        <v>46163</v>
      </c>
      <c r="D64" t="inlineStr">
        <is>
          <t>VÄSTRA GÖTALANDS LÄN</t>
        </is>
      </c>
      <c r="E64" t="inlineStr">
        <is>
          <t>LYSEKIL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12523-2026</t>
        </is>
      </c>
      <c r="B65" s="1" t="n">
        <v>46090.59752314815</v>
      </c>
      <c r="C65" s="1" t="n">
        <v>46163</v>
      </c>
      <c r="D65" t="inlineStr">
        <is>
          <t>VÄSTRA GÖTALANDS LÄN</t>
        </is>
      </c>
      <c r="E65" t="inlineStr">
        <is>
          <t>LYSEKIL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18138-2025</t>
        </is>
      </c>
      <c r="B66" s="1" t="n">
        <v>45761.60342592592</v>
      </c>
      <c r="C66" s="1" t="n">
        <v>46163</v>
      </c>
      <c r="D66" t="inlineStr">
        <is>
          <t>VÄSTRA GÖTALANDS LÄN</t>
        </is>
      </c>
      <c r="E66" t="inlineStr">
        <is>
          <t>LYSEKIL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18142-2025</t>
        </is>
      </c>
      <c r="B67" s="1" t="n">
        <v>45761.60667824074</v>
      </c>
      <c r="C67" s="1" t="n">
        <v>46163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18143-2025</t>
        </is>
      </c>
      <c r="B68" s="1" t="n">
        <v>45761.60916666667</v>
      </c>
      <c r="C68" s="1" t="n">
        <v>46163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18831-2026</t>
        </is>
      </c>
      <c r="B69" s="1" t="n">
        <v>46128.94172453704</v>
      </c>
      <c r="C69" s="1" t="n">
        <v>46163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60969-2021</t>
        </is>
      </c>
      <c r="B70" s="1" t="n">
        <v>44497.5580787037</v>
      </c>
      <c r="C70" s="1" t="n">
        <v>46163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49105-2025</t>
        </is>
      </c>
      <c r="B71" s="1" t="n">
        <v>45937.72574074074</v>
      </c>
      <c r="C71" s="1" t="n">
        <v>46163</v>
      </c>
      <c r="D71" t="inlineStr">
        <is>
          <t>VÄSTRA GÖTALANDS LÄN</t>
        </is>
      </c>
      <c r="E71" t="inlineStr">
        <is>
          <t>LYSEKIL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34623-2025</t>
        </is>
      </c>
      <c r="B72" s="1" t="n">
        <v>45847</v>
      </c>
      <c r="C72" s="1" t="n">
        <v>46163</v>
      </c>
      <c r="D72" t="inlineStr">
        <is>
          <t>VÄSTRA GÖTALANDS LÄN</t>
        </is>
      </c>
      <c r="E72" t="inlineStr">
        <is>
          <t>LYSEKIL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46163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19309-2026</t>
        </is>
      </c>
      <c r="B74" s="1" t="n">
        <v>46133.36696759259</v>
      </c>
      <c r="C74" s="1" t="n">
        <v>46163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46163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53191-2025</t>
        </is>
      </c>
      <c r="B76" s="1" t="n">
        <v>45958.56690972222</v>
      </c>
      <c r="C76" s="1" t="n">
        <v>46163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54366-2025</t>
        </is>
      </c>
      <c r="B77" s="1" t="n">
        <v>45965.40274305556</v>
      </c>
      <c r="C77" s="1" t="n">
        <v>46163</v>
      </c>
      <c r="D77" t="inlineStr">
        <is>
          <t>VÄSTRA GÖTALANDS LÄN</t>
        </is>
      </c>
      <c r="E77" t="inlineStr">
        <is>
          <t>LYSEKIL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46163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440-2023</t>
        </is>
      </c>
      <c r="B79" s="1" t="n">
        <v>44929.70428240741</v>
      </c>
      <c r="C79" s="1" t="n">
        <v>46163</v>
      </c>
      <c r="D79" t="inlineStr">
        <is>
          <t>VÄSTRA GÖTALANDS LÄN</t>
        </is>
      </c>
      <c r="E79" t="inlineStr">
        <is>
          <t>LYSEKIL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14123-2026</t>
        </is>
      </c>
      <c r="B80" s="1" t="n">
        <v>46099.43984953704</v>
      </c>
      <c r="C80" s="1" t="n">
        <v>46163</v>
      </c>
      <c r="D80" t="inlineStr">
        <is>
          <t>VÄSTRA GÖTALANDS LÄN</t>
        </is>
      </c>
      <c r="E80" t="inlineStr">
        <is>
          <t>LYSEKIL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46163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46163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46163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15992-2026</t>
        </is>
      </c>
      <c r="B84" s="1" t="n">
        <v>46108.37824074074</v>
      </c>
      <c r="C84" s="1" t="n">
        <v>46163</v>
      </c>
      <c r="D84" t="inlineStr">
        <is>
          <t>VÄSTRA GÖTALANDS LÄN</t>
        </is>
      </c>
      <c r="E84" t="inlineStr">
        <is>
          <t>LYSEKIL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54740-2022</t>
        </is>
      </c>
      <c r="B85" s="1" t="n">
        <v>44883</v>
      </c>
      <c r="C85" s="1" t="n">
        <v>46163</v>
      </c>
      <c r="D85" t="inlineStr">
        <is>
          <t>VÄSTRA GÖTALANDS LÄN</t>
        </is>
      </c>
      <c r="E85" t="inlineStr">
        <is>
          <t>LYSEKIL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46163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16607-2026</t>
        </is>
      </c>
      <c r="B87" s="1" t="n">
        <v>46112.59990740741</v>
      </c>
      <c r="C87" s="1" t="n">
        <v>46163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22411-2026</t>
        </is>
      </c>
      <c r="B88" s="1" t="n">
        <v>46154.67119212963</v>
      </c>
      <c r="C88" s="1" t="n">
        <v>46163</v>
      </c>
      <c r="D88" t="inlineStr">
        <is>
          <t>VÄSTRA GÖTALANDS LÄN</t>
        </is>
      </c>
      <c r="E88" t="inlineStr">
        <is>
          <t>LYSEKIL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22407-2026</t>
        </is>
      </c>
      <c r="B89" s="1" t="n">
        <v>46154.66519675926</v>
      </c>
      <c r="C89" s="1" t="n">
        <v>46163</v>
      </c>
      <c r="D89" t="inlineStr">
        <is>
          <t>VÄSTRA GÖTALANDS LÄN</t>
        </is>
      </c>
      <c r="E89" t="inlineStr">
        <is>
          <t>LYSEKIL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16233-2026</t>
        </is>
      </c>
      <c r="B90" s="1" t="n">
        <v>46111.45421296296</v>
      </c>
      <c r="C90" s="1" t="n">
        <v>46163</v>
      </c>
      <c r="D90" t="inlineStr">
        <is>
          <t>VÄSTRA GÖTALANDS LÄN</t>
        </is>
      </c>
      <c r="E90" t="inlineStr">
        <is>
          <t>LYSEKIL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22465-2026</t>
        </is>
      </c>
      <c r="B91" s="1" t="n">
        <v>46155.36923611111</v>
      </c>
      <c r="C91" s="1" t="n">
        <v>46163</v>
      </c>
      <c r="D91" t="inlineStr">
        <is>
          <t>VÄSTRA GÖTALANDS LÄN</t>
        </is>
      </c>
      <c r="E91" t="inlineStr">
        <is>
          <t>LYSEKIL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45436.58445601852</v>
      </c>
      <c r="C92" s="1" t="n">
        <v>46163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1265-2026</t>
        </is>
      </c>
      <c r="B93" s="1" t="n">
        <v>46031.46165509259</v>
      </c>
      <c r="C93" s="1" t="n">
        <v>46163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22793-2026</t>
        </is>
      </c>
      <c r="B94" s="1" t="n">
        <v>46157.6603125</v>
      </c>
      <c r="C94" s="1" t="n">
        <v>46163</v>
      </c>
      <c r="D94" t="inlineStr">
        <is>
          <t>VÄSTRA GÖTALANDS LÄN</t>
        </is>
      </c>
      <c r="E94" t="inlineStr">
        <is>
          <t>LYSEKIL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25657-2021</t>
        </is>
      </c>
      <c r="B95" s="1" t="n">
        <v>44343.55598379629</v>
      </c>
      <c r="C95" s="1" t="n">
        <v>46163</v>
      </c>
      <c r="D95" t="inlineStr">
        <is>
          <t>VÄSTRA GÖTALANDS LÄN</t>
        </is>
      </c>
      <c r="E95" t="inlineStr">
        <is>
          <t>LYSEKIL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8469-2023</t>
        </is>
      </c>
      <c r="B96" s="1" t="n">
        <v>44977.50028935185</v>
      </c>
      <c r="C96" s="1" t="n">
        <v>46163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22792-2026</t>
        </is>
      </c>
      <c r="B97" s="1" t="n">
        <v>46157</v>
      </c>
      <c r="C97" s="1" t="n">
        <v>46163</v>
      </c>
      <c r="D97" t="inlineStr">
        <is>
          <t>VÄSTRA GÖTALANDS LÄN</t>
        </is>
      </c>
      <c r="E97" t="inlineStr">
        <is>
          <t>LYSEKIL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3588-2026</t>
        </is>
      </c>
      <c r="B98" s="1" t="n">
        <v>46042.75251157407</v>
      </c>
      <c r="C98" s="1" t="n">
        <v>46163</v>
      </c>
      <c r="D98" t="inlineStr">
        <is>
          <t>VÄSTRA GÖTALANDS LÄN</t>
        </is>
      </c>
      <c r="E98" t="inlineStr">
        <is>
          <t>LYSEKIL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61985-2024</t>
        </is>
      </c>
      <c r="B99" s="1" t="n">
        <v>45653.67324074074</v>
      </c>
      <c r="C99" s="1" t="n">
        <v>46163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2269-2025</t>
        </is>
      </c>
      <c r="B100" s="1" t="n">
        <v>45673.54107638889</v>
      </c>
      <c r="C100" s="1" t="n">
        <v>46163</v>
      </c>
      <c r="D100" t="inlineStr">
        <is>
          <t>VÄSTRA GÖTALANDS LÄN</t>
        </is>
      </c>
      <c r="E100" t="inlineStr">
        <is>
          <t>LYSEKIL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25009-2023</t>
        </is>
      </c>
      <c r="B101" s="1" t="n">
        <v>45085</v>
      </c>
      <c r="C101" s="1" t="n">
        <v>46163</v>
      </c>
      <c r="D101" t="inlineStr">
        <is>
          <t>VÄSTRA GÖTALANDS LÄN</t>
        </is>
      </c>
      <c r="E101" t="inlineStr">
        <is>
          <t>LYSEKIL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7506-2026</t>
        </is>
      </c>
      <c r="B102" s="1" t="n">
        <v>46059.57417824074</v>
      </c>
      <c r="C102" s="1" t="n">
        <v>46163</v>
      </c>
      <c r="D102" t="inlineStr">
        <is>
          <t>VÄSTRA GÖTALANDS LÄN</t>
        </is>
      </c>
      <c r="E102" t="inlineStr">
        <is>
          <t>LYSEKIL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43028-2023</t>
        </is>
      </c>
      <c r="B103" s="1" t="n">
        <v>45182</v>
      </c>
      <c r="C103" s="1" t="n">
        <v>46163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13239-2024</t>
        </is>
      </c>
      <c r="B104" s="1" t="n">
        <v>45386.5583449074</v>
      </c>
      <c r="C104" s="1" t="n">
        <v>46163</v>
      </c>
      <c r="D104" t="inlineStr">
        <is>
          <t>VÄSTRA GÖTALANDS LÄN</t>
        </is>
      </c>
      <c r="E104" t="inlineStr">
        <is>
          <t>LYSEKIL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10579-2024</t>
        </is>
      </c>
      <c r="B105" s="1" t="n">
        <v>45366.66769675926</v>
      </c>
      <c r="C105" s="1" t="n">
        <v>46163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6509-2025</t>
        </is>
      </c>
      <c r="B106" s="1" t="n">
        <v>45699.65163194444</v>
      </c>
      <c r="C106" s="1" t="n">
        <v>46163</v>
      </c>
      <c r="D106" t="inlineStr">
        <is>
          <t>VÄSTRA GÖTALANDS LÄN</t>
        </is>
      </c>
      <c r="E106" t="inlineStr">
        <is>
          <t>LYSEKIL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46163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7149-2025</t>
        </is>
      </c>
      <c r="B108" s="1" t="n">
        <v>45702.37914351852</v>
      </c>
      <c r="C108" s="1" t="n">
        <v>46163</v>
      </c>
      <c r="D108" t="inlineStr">
        <is>
          <t>VÄSTRA GÖTALANDS LÄN</t>
        </is>
      </c>
      <c r="E108" t="inlineStr">
        <is>
          <t>LYSEKIL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37583-2024</t>
        </is>
      </c>
      <c r="B109" s="1" t="n">
        <v>45541.45914351852</v>
      </c>
      <c r="C109" s="1" t="n">
        <v>46163</v>
      </c>
      <c r="D109" t="inlineStr">
        <is>
          <t>VÄSTRA GÖTALANDS LÄN</t>
        </is>
      </c>
      <c r="E109" t="inlineStr">
        <is>
          <t>LYSEKIL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13250-2024</t>
        </is>
      </c>
      <c r="B110" s="1" t="n">
        <v>45386.5759375</v>
      </c>
      <c r="C110" s="1" t="n">
        <v>46163</v>
      </c>
      <c r="D110" t="inlineStr">
        <is>
          <t>VÄSTRA GÖTALANDS LÄN</t>
        </is>
      </c>
      <c r="E110" t="inlineStr">
        <is>
          <t>LYSEKIL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59223-2022</t>
        </is>
      </c>
      <c r="B111" s="1" t="n">
        <v>44899</v>
      </c>
      <c r="C111" s="1" t="n">
        <v>46163</v>
      </c>
      <c r="D111" t="inlineStr">
        <is>
          <t>VÄSTRA GÖTALANDS LÄN</t>
        </is>
      </c>
      <c r="E111" t="inlineStr">
        <is>
          <t>LYSEKIL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22658-2025</t>
        </is>
      </c>
      <c r="B112" s="1" t="n">
        <v>45789.47318287037</v>
      </c>
      <c r="C112" s="1" t="n">
        <v>46163</v>
      </c>
      <c r="D112" t="inlineStr">
        <is>
          <t>VÄSTRA GÖTALANDS LÄN</t>
        </is>
      </c>
      <c r="E112" t="inlineStr">
        <is>
          <t>LYSEKIL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46163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22605-2025</t>
        </is>
      </c>
      <c r="B114" s="1" t="n">
        <v>45789</v>
      </c>
      <c r="C114" s="1" t="n">
        <v>46163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46163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58619-2024</t>
        </is>
      </c>
      <c r="B116" s="1" t="n">
        <v>45635.56216435185</v>
      </c>
      <c r="C116" s="1" t="n">
        <v>46163</v>
      </c>
      <c r="D116" t="inlineStr">
        <is>
          <t>VÄSTRA GÖTALANDS LÄN</t>
        </is>
      </c>
      <c r="E116" t="inlineStr">
        <is>
          <t>LYSEKIL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19794-2023</t>
        </is>
      </c>
      <c r="B117" s="1" t="n">
        <v>45051</v>
      </c>
      <c r="C117" s="1" t="n">
        <v>46163</v>
      </c>
      <c r="D117" t="inlineStr">
        <is>
          <t>VÄSTRA GÖTALANDS LÄN</t>
        </is>
      </c>
      <c r="E117" t="inlineStr">
        <is>
          <t>LYSEKIL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41581-2023</t>
        </is>
      </c>
      <c r="B118" s="1" t="n">
        <v>45173</v>
      </c>
      <c r="C118" s="1" t="n">
        <v>46163</v>
      </c>
      <c r="D118" t="inlineStr">
        <is>
          <t>VÄSTRA GÖTALANDS LÄN</t>
        </is>
      </c>
      <c r="E118" t="inlineStr">
        <is>
          <t>LYSEKIL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25395-2025</t>
        </is>
      </c>
      <c r="B119" s="1" t="n">
        <v>45800.64942129629</v>
      </c>
      <c r="C119" s="1" t="n">
        <v>46163</v>
      </c>
      <c r="D119" t="inlineStr">
        <is>
          <t>VÄSTRA GÖTALANDS LÄN</t>
        </is>
      </c>
      <c r="E119" t="inlineStr">
        <is>
          <t>LYSEKIL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20685-2024</t>
        </is>
      </c>
      <c r="B120" s="1" t="n">
        <v>45436.58555555555</v>
      </c>
      <c r="C120" s="1" t="n">
        <v>46163</v>
      </c>
      <c r="D120" t="inlineStr">
        <is>
          <t>VÄSTRA GÖTALANDS LÄN</t>
        </is>
      </c>
      <c r="E120" t="inlineStr">
        <is>
          <t>LYSEKIL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2026-05-21T10:48:50Z</dcterms:created>
  <dcterms:modified xmlns:dcterms="http://purl.org/dc/terms/" xmlns:xsi="http://www.w3.org/2001/XMLSchema-instance" xsi:type="dcterms:W3CDTF">2026-05-21T10:48:51Z</dcterms:modified>
</cp:coreProperties>
</file>