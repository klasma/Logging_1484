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46043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61174-2025</t>
        </is>
      </c>
      <c r="B7" s="1" t="n">
        <v>46000</v>
      </c>
      <c r="C7" s="1" t="n">
        <v>46043</v>
      </c>
      <c r="D7" t="inlineStr">
        <is>
          <t>VÄSTRA GÖTALANDS LÄN</t>
        </is>
      </c>
      <c r="E7" t="inlineStr">
        <is>
          <t>LYSEKIL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Nordbjörnbär</t>
        </is>
      </c>
      <c r="S7">
        <f>HYPERLINK("https://klasma.github.io/Logging_1484/artfynd/A 61174-2025 artfynd.xlsx", "A 61174-2025")</f>
        <v/>
      </c>
      <c r="T7">
        <f>HYPERLINK("https://klasma.github.io/Logging_1484/kartor/A 61174-2025 karta.png", "A 61174-2025")</f>
        <v/>
      </c>
      <c r="V7">
        <f>HYPERLINK("https://klasma.github.io/Logging_1484/klagomål/A 61174-2025 FSC-klagomål.docx", "A 61174-2025")</f>
        <v/>
      </c>
      <c r="W7">
        <f>HYPERLINK("https://klasma.github.io/Logging_1484/klagomålsmail/A 61174-2025 FSC-klagomål mail.docx", "A 61174-2025")</f>
        <v/>
      </c>
      <c r="X7">
        <f>HYPERLINK("https://klasma.github.io/Logging_1484/tillsyn/A 61174-2025 tillsynsbegäran.docx", "A 61174-2025")</f>
        <v/>
      </c>
      <c r="Y7">
        <f>HYPERLINK("https://klasma.github.io/Logging_1484/tillsynsmail/A 61174-2025 tillsynsbegäran mail.docx", "A 61174-2025")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46043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46043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53422-2023</t>
        </is>
      </c>
      <c r="B10" s="1" t="n">
        <v>45229</v>
      </c>
      <c r="C10" s="1" t="n">
        <v>46043</v>
      </c>
      <c r="D10" t="inlineStr">
        <is>
          <t>VÄSTRA GÖTALANDS LÄN</t>
        </is>
      </c>
      <c r="E10" t="inlineStr">
        <is>
          <t>LYSEKIL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HYPERLINK("https://klasma.github.io/Logging_1484/artfynd/A 53422-2023 artfynd.xlsx", "A 53422-2023")</f>
        <v/>
      </c>
      <c r="T10">
        <f>HYPERLINK("https://klasma.github.io/Logging_1484/kartor/A 53422-2023 karta.png", "A 53422-2023")</f>
        <v/>
      </c>
      <c r="V10">
        <f>HYPERLINK("https://klasma.github.io/Logging_1484/klagomål/A 53422-2023 FSC-klagomål.docx", "A 53422-2023")</f>
        <v/>
      </c>
      <c r="W10">
        <f>HYPERLINK("https://klasma.github.io/Logging_1484/klagomålsmail/A 53422-2023 FSC-klagomål mail.docx", "A 53422-2023")</f>
        <v/>
      </c>
      <c r="X10">
        <f>HYPERLINK("https://klasma.github.io/Logging_1484/tillsyn/A 53422-2023 tillsynsbegäran.docx", "A 53422-2023")</f>
        <v/>
      </c>
      <c r="Y10">
        <f>HYPERLINK("https://klasma.github.io/Logging_1484/tillsynsmail/A 53422-2023 tillsynsbegäran mail.docx", "A 53422-2023")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46043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46043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46043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46043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46043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46043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46043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46043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57532-2025</t>
        </is>
      </c>
      <c r="B24" s="1" t="n">
        <v>45980.63876157408</v>
      </c>
      <c r="C24" s="1" t="n">
        <v>46043</v>
      </c>
      <c r="D24" t="inlineStr">
        <is>
          <t>VÄSTRA GÖTALANDS LÄN</t>
        </is>
      </c>
      <c r="E24" t="inlineStr">
        <is>
          <t>LYSEKIL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57530-2025</t>
        </is>
      </c>
      <c r="B25" s="1" t="n">
        <v>45980.63579861111</v>
      </c>
      <c r="C25" s="1" t="n">
        <v>46043</v>
      </c>
      <c r="D25" t="inlineStr">
        <is>
          <t>VÄSTRA GÖTALANDS LÄN</t>
        </is>
      </c>
      <c r="E25" t="inlineStr">
        <is>
          <t>LYSEKIL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10579-2024</t>
        </is>
      </c>
      <c r="B26" s="1" t="n">
        <v>45366.66769675926</v>
      </c>
      <c r="C26" s="1" t="n">
        <v>46043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22658-2025</t>
        </is>
      </c>
      <c r="B27" s="1" t="n">
        <v>45789.47318287037</v>
      </c>
      <c r="C27" s="1" t="n">
        <v>46043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13246-2024</t>
        </is>
      </c>
      <c r="B28" s="1" t="n">
        <v>45386.56986111111</v>
      </c>
      <c r="C28" s="1" t="n">
        <v>46043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46043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46043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46043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46043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46043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58619-2024</t>
        </is>
      </c>
      <c r="B34" s="1" t="n">
        <v>45635.56216435185</v>
      </c>
      <c r="C34" s="1" t="n">
        <v>46043</v>
      </c>
      <c r="D34" t="inlineStr">
        <is>
          <t>VÄSTRA GÖTALANDS LÄN</t>
        </is>
      </c>
      <c r="E34" t="inlineStr">
        <is>
          <t>LYSEKIL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46043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1265-2026</t>
        </is>
      </c>
      <c r="B36" s="1" t="n">
        <v>46031.46165509259</v>
      </c>
      <c r="C36" s="1" t="n">
        <v>46043</v>
      </c>
      <c r="D36" t="inlineStr">
        <is>
          <t>VÄSTRA GÖTALANDS LÄN</t>
        </is>
      </c>
      <c r="E36" t="inlineStr">
        <is>
          <t>LYSEKIL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41581-2023</t>
        </is>
      </c>
      <c r="B37" s="1" t="n">
        <v>45173</v>
      </c>
      <c r="C37" s="1" t="n">
        <v>46043</v>
      </c>
      <c r="D37" t="inlineStr">
        <is>
          <t>VÄSTRA GÖTALANDS LÄN</t>
        </is>
      </c>
      <c r="E37" t="inlineStr">
        <is>
          <t>LYSEKIL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19794-2023</t>
        </is>
      </c>
      <c r="B38" s="1" t="n">
        <v>45051</v>
      </c>
      <c r="C38" s="1" t="n">
        <v>46043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46043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63886-2023</t>
        </is>
      </c>
      <c r="B40" s="1" t="n">
        <v>45278</v>
      </c>
      <c r="C40" s="1" t="n">
        <v>46043</v>
      </c>
      <c r="D40" t="inlineStr">
        <is>
          <t>VÄSTRA GÖTALANDS LÄN</t>
        </is>
      </c>
      <c r="E40" t="inlineStr">
        <is>
          <t>LYSEKIL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48403-2024</t>
        </is>
      </c>
      <c r="B41" s="1" t="n">
        <v>45590.61787037037</v>
      </c>
      <c r="C41" s="1" t="n">
        <v>46043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46043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46043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3588-2026</t>
        </is>
      </c>
      <c r="B44" s="1" t="n">
        <v>46042.75251157407</v>
      </c>
      <c r="C44" s="1" t="n">
        <v>46043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46043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46043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7149-2025</t>
        </is>
      </c>
      <c r="B47" s="1" t="n">
        <v>45702.37914351852</v>
      </c>
      <c r="C47" s="1" t="n">
        <v>46043</v>
      </c>
      <c r="D47" t="inlineStr">
        <is>
          <t>VÄSTRA GÖTALANDS LÄN</t>
        </is>
      </c>
      <c r="E47" t="inlineStr">
        <is>
          <t>LYSEKIL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46043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46043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46043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45933.40649305555</v>
      </c>
      <c r="C51" s="1" t="n">
        <v>46043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45933.41109953704</v>
      </c>
      <c r="C52" s="1" t="n">
        <v>46043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46043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46043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43028-2023</t>
        </is>
      </c>
      <c r="B55" s="1" t="n">
        <v>45182</v>
      </c>
      <c r="C55" s="1" t="n">
        <v>46043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46043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2122-2025</t>
        </is>
      </c>
      <c r="B57" s="1" t="n">
        <v>45672.64579861111</v>
      </c>
      <c r="C57" s="1" t="n">
        <v>46043</v>
      </c>
      <c r="D57" t="inlineStr">
        <is>
          <t>VÄSTRA GÖTALANDS LÄN</t>
        </is>
      </c>
      <c r="E57" t="inlineStr">
        <is>
          <t>LYSEKIL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53191-2025</t>
        </is>
      </c>
      <c r="B58" s="1" t="n">
        <v>45958.56690972222</v>
      </c>
      <c r="C58" s="1" t="n">
        <v>46043</v>
      </c>
      <c r="D58" t="inlineStr">
        <is>
          <t>VÄSTRA GÖTALANDS LÄN</t>
        </is>
      </c>
      <c r="E58" t="inlineStr">
        <is>
          <t>LYSEKIL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46043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20685-2024</t>
        </is>
      </c>
      <c r="B60" s="1" t="n">
        <v>45436.58555555555</v>
      </c>
      <c r="C60" s="1" t="n">
        <v>46043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46043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61985-2024</t>
        </is>
      </c>
      <c r="B62" s="1" t="n">
        <v>45653.67324074074</v>
      </c>
      <c r="C62" s="1" t="n">
        <v>46043</v>
      </c>
      <c r="D62" t="inlineStr">
        <is>
          <t>VÄSTRA GÖTALANDS LÄN</t>
        </is>
      </c>
      <c r="E62" t="inlineStr">
        <is>
          <t>LYSEKIL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54366-2025</t>
        </is>
      </c>
      <c r="B63" s="1" t="n">
        <v>45965.40274305556</v>
      </c>
      <c r="C63" s="1" t="n">
        <v>46043</v>
      </c>
      <c r="D63" t="inlineStr">
        <is>
          <t>VÄSTRA GÖTALANDS LÄN</t>
        </is>
      </c>
      <c r="E63" t="inlineStr">
        <is>
          <t>LYSEKIL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58793-2022</t>
        </is>
      </c>
      <c r="B64" s="1" t="n">
        <v>44903.42074074074</v>
      </c>
      <c r="C64" s="1" t="n">
        <v>46043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35144-2025</t>
        </is>
      </c>
      <c r="B65" s="1" t="n">
        <v>45852.65833333333</v>
      </c>
      <c r="C65" s="1" t="n">
        <v>46043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35139-2025</t>
        </is>
      </c>
      <c r="B66" s="1" t="n">
        <v>45852.64978009259</v>
      </c>
      <c r="C66" s="1" t="n">
        <v>46043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35135-2025</t>
        </is>
      </c>
      <c r="B67" s="1" t="n">
        <v>45852.64123842592</v>
      </c>
      <c r="C67" s="1" t="n">
        <v>46043</v>
      </c>
      <c r="D67" t="inlineStr">
        <is>
          <t>VÄSTRA GÖTALANDS LÄN</t>
        </is>
      </c>
      <c r="E67" t="inlineStr">
        <is>
          <t>LYSEKIL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35640-2025</t>
        </is>
      </c>
      <c r="B68" s="1" t="n">
        <v>45859.47606481481</v>
      </c>
      <c r="C68" s="1" t="n">
        <v>46043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38036-2025</t>
        </is>
      </c>
      <c r="B69" s="1" t="n">
        <v>45881</v>
      </c>
      <c r="C69" s="1" t="n">
        <v>46043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46043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25009-2023</t>
        </is>
      </c>
      <c r="B71" s="1" t="n">
        <v>45085</v>
      </c>
      <c r="C71" s="1" t="n">
        <v>46043</v>
      </c>
      <c r="D71" t="inlineStr">
        <is>
          <t>VÄSTRA GÖTALANDS LÄN</t>
        </is>
      </c>
      <c r="E71" t="inlineStr">
        <is>
          <t>LYSEKIL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44536-2024</t>
        </is>
      </c>
      <c r="B72" s="1" t="n">
        <v>45574.45354166667</v>
      </c>
      <c r="C72" s="1" t="n">
        <v>46043</v>
      </c>
      <c r="D72" t="inlineStr">
        <is>
          <t>VÄSTRA GÖTALANDS LÄN</t>
        </is>
      </c>
      <c r="E72" t="inlineStr">
        <is>
          <t>LYSEKIL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37583-2024</t>
        </is>
      </c>
      <c r="B73" s="1" t="n">
        <v>45541.45914351852</v>
      </c>
      <c r="C73" s="1" t="n">
        <v>46043</v>
      </c>
      <c r="D73" t="inlineStr">
        <is>
          <t>VÄSTRA GÖTALANDS LÄN</t>
        </is>
      </c>
      <c r="E73" t="inlineStr">
        <is>
          <t>LYSEKIL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2053-2025</t>
        </is>
      </c>
      <c r="B74" s="1" t="n">
        <v>45671</v>
      </c>
      <c r="C74" s="1" t="n">
        <v>46043</v>
      </c>
      <c r="D74" t="inlineStr">
        <is>
          <t>VÄSTRA GÖTALANDS LÄN</t>
        </is>
      </c>
      <c r="E74" t="inlineStr">
        <is>
          <t>LYSEKIL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61991-2024</t>
        </is>
      </c>
      <c r="B75" s="1" t="n">
        <v>45653.70577546296</v>
      </c>
      <c r="C75" s="1" t="n">
        <v>46043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37050-2023</t>
        </is>
      </c>
      <c r="B76" s="1" t="n">
        <v>45155.42420138889</v>
      </c>
      <c r="C76" s="1" t="n">
        <v>46043</v>
      </c>
      <c r="D76" t="inlineStr">
        <is>
          <t>VÄSTRA GÖTALANDS LÄN</t>
        </is>
      </c>
      <c r="E76" t="inlineStr">
        <is>
          <t>LYSEKIL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37077-2023</t>
        </is>
      </c>
      <c r="B77" s="1" t="n">
        <v>45155.48460648148</v>
      </c>
      <c r="C77" s="1" t="n">
        <v>46043</v>
      </c>
      <c r="D77" t="inlineStr">
        <is>
          <t>VÄSTRA GÖTALANDS LÄN</t>
        </is>
      </c>
      <c r="E77" t="inlineStr">
        <is>
          <t>LYSEKIL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44146-2023</t>
        </is>
      </c>
      <c r="B78" s="1" t="n">
        <v>45188</v>
      </c>
      <c r="C78" s="1" t="n">
        <v>46043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58789-2022</t>
        </is>
      </c>
      <c r="B79" s="1" t="n">
        <v>44903.41709490741</v>
      </c>
      <c r="C79" s="1" t="n">
        <v>46043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58794-2022</t>
        </is>
      </c>
      <c r="B80" s="1" t="n">
        <v>44903.42262731482</v>
      </c>
      <c r="C80" s="1" t="n">
        <v>46043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47304-2022</t>
        </is>
      </c>
      <c r="B81" s="1" t="n">
        <v>44853</v>
      </c>
      <c r="C81" s="1" t="n">
        <v>46043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20683-2024</t>
        </is>
      </c>
      <c r="B82" s="1" t="n">
        <v>45436.58328703704</v>
      </c>
      <c r="C82" s="1" t="n">
        <v>46043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59223-2022</t>
        </is>
      </c>
      <c r="B83" s="1" t="n">
        <v>44899</v>
      </c>
      <c r="C83" s="1" t="n">
        <v>46043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8464-2023</t>
        </is>
      </c>
      <c r="B84" s="1" t="n">
        <v>44977.49489583333</v>
      </c>
      <c r="C84" s="1" t="n">
        <v>46043</v>
      </c>
      <c r="D84" t="inlineStr">
        <is>
          <t>VÄSTRA GÖTALANDS LÄN</t>
        </is>
      </c>
      <c r="E84" t="inlineStr">
        <is>
          <t>LYSEKIL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60969-2021</t>
        </is>
      </c>
      <c r="B85" s="1" t="n">
        <v>44497.5580787037</v>
      </c>
      <c r="C85" s="1" t="n">
        <v>46043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20684-2024</t>
        </is>
      </c>
      <c r="B86" s="1" t="n">
        <v>45436.58445601852</v>
      </c>
      <c r="C86" s="1" t="n">
        <v>46043</v>
      </c>
      <c r="D86" t="inlineStr">
        <is>
          <t>VÄSTRA GÖTALANDS LÄN</t>
        </is>
      </c>
      <c r="E86" t="inlineStr">
        <is>
          <t>LYSEKIL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45386.5583449074</v>
      </c>
      <c r="C87" s="1" t="n">
        <v>46043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46043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440-2023</t>
        </is>
      </c>
      <c r="B89" s="1" t="n">
        <v>44929.70428240741</v>
      </c>
      <c r="C89" s="1" t="n">
        <v>46043</v>
      </c>
      <c r="D89" t="inlineStr">
        <is>
          <t>VÄSTRA GÖTALANDS LÄN</t>
        </is>
      </c>
      <c r="E89" t="inlineStr">
        <is>
          <t>LYSEKIL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8474-2023</t>
        </is>
      </c>
      <c r="B90" s="1" t="n">
        <v>44977.50395833333</v>
      </c>
      <c r="C90" s="1" t="n">
        <v>46043</v>
      </c>
      <c r="D90" t="inlineStr">
        <is>
          <t>VÄSTRA GÖTALANDS LÄN</t>
        </is>
      </c>
      <c r="E90" t="inlineStr">
        <is>
          <t>LYSEKIL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18138-2025</t>
        </is>
      </c>
      <c r="B91" s="1" t="n">
        <v>45761.60342592592</v>
      </c>
      <c r="C91" s="1" t="n">
        <v>46043</v>
      </c>
      <c r="D91" t="inlineStr">
        <is>
          <t>VÄSTRA GÖTALANDS LÄN</t>
        </is>
      </c>
      <c r="E91" t="inlineStr">
        <is>
          <t>LYSEKIL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18142-2025</t>
        </is>
      </c>
      <c r="B92" s="1" t="n">
        <v>45761.60667824074</v>
      </c>
      <c r="C92" s="1" t="n">
        <v>46043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18143-2025</t>
        </is>
      </c>
      <c r="B93" s="1" t="n">
        <v>45761.60916666667</v>
      </c>
      <c r="C93" s="1" t="n">
        <v>46043</v>
      </c>
      <c r="D93" t="inlineStr">
        <is>
          <t>VÄSTRA GÖTALANDS LÄN</t>
        </is>
      </c>
      <c r="E93" t="inlineStr">
        <is>
          <t>LYSEKIL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54740-2022</t>
        </is>
      </c>
      <c r="B94" s="1" t="n">
        <v>44883</v>
      </c>
      <c r="C94" s="1" t="n">
        <v>46043</v>
      </c>
      <c r="D94" t="inlineStr">
        <is>
          <t>VÄSTRA GÖTALANDS LÄN</t>
        </is>
      </c>
      <c r="E94" t="inlineStr">
        <is>
          <t>LYSEKIL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2269-2025</t>
        </is>
      </c>
      <c r="B95" s="1" t="n">
        <v>45673.54107638889</v>
      </c>
      <c r="C95" s="1" t="n">
        <v>46043</v>
      </c>
      <c r="D95" t="inlineStr">
        <is>
          <t>VÄSTRA GÖTALANDS LÄN</t>
        </is>
      </c>
      <c r="E95" t="inlineStr">
        <is>
          <t>LYSEKIL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6500-2025</t>
        </is>
      </c>
      <c r="B96" s="1" t="n">
        <v>45699.64050925926</v>
      </c>
      <c r="C96" s="1" t="n">
        <v>46043</v>
      </c>
      <c r="D96" t="inlineStr">
        <is>
          <t>VÄSTRA GÖTALANDS LÄN</t>
        </is>
      </c>
      <c r="E96" t="inlineStr">
        <is>
          <t>LYSEKIL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13250-2024</t>
        </is>
      </c>
      <c r="B97" s="1" t="n">
        <v>45386.5759375</v>
      </c>
      <c r="C97" s="1" t="n">
        <v>46043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3408-2024</t>
        </is>
      </c>
      <c r="B98" s="1" t="n">
        <v>45319</v>
      </c>
      <c r="C98" s="1" t="n">
        <v>46043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6491-2025</t>
        </is>
      </c>
      <c r="B99" s="1" t="n">
        <v>45699.62943287037</v>
      </c>
      <c r="C99" s="1" t="n">
        <v>46043</v>
      </c>
      <c r="D99" t="inlineStr">
        <is>
          <t>VÄSTRA GÖTALANDS LÄN</t>
        </is>
      </c>
      <c r="E99" t="inlineStr">
        <is>
          <t>LYSEKIL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6509-2025</t>
        </is>
      </c>
      <c r="B100" s="1" t="n">
        <v>45699.65163194444</v>
      </c>
      <c r="C100" s="1" t="n">
        <v>46043</v>
      </c>
      <c r="D100" t="inlineStr">
        <is>
          <t>VÄSTRA GÖTALANDS LÄN</t>
        </is>
      </c>
      <c r="E100" t="inlineStr">
        <is>
          <t>LYSEKIL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52-2024</t>
        </is>
      </c>
      <c r="B101" s="1" t="n">
        <v>45293</v>
      </c>
      <c r="C101" s="1" t="n">
        <v>46043</v>
      </c>
      <c r="D101" t="inlineStr">
        <is>
          <t>VÄSTRA GÖTALANDS LÄN</t>
        </is>
      </c>
      <c r="E101" t="inlineStr">
        <is>
          <t>LYSEKIL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2026-01-21T10:58:14Z</dcterms:created>
  <dcterms:modified xmlns:dcterms="http://purl.org/dc/terms/" xmlns:xsi="http://www.w3.org/2001/XMLSchema-instance" xsi:type="dcterms:W3CDTF">2026-01-21T10:58:14Z</dcterms:modified>
</cp:coreProperties>
</file>