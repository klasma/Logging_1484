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35783-2025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45860</v>
      </c>
      <c r="E2" s="1" t="n">
        <v>46323</v>
      </c>
      <c r="F2" t="inlineStr">
        <is>
          <t>VÄSTRA GÖTALANDS LÄN</t>
        </is>
      </c>
      <c r="G2" t="inlineStr">
        <is>
          <t>LYSEKIL</t>
        </is>
      </c>
      <c r="I2" t="n">
        <v>6.1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3</v>
      </c>
      <c r="U2" t="n">
        <v>1</v>
      </c>
      <c r="V2" s="2" t="inlineStr">
        <is>
          <t>Blanksvart trämyra
Svart trolldruva
Blåsippa</t>
        </is>
      </c>
      <c r="W2">
        <f>HYPERLINK("https://klasma.github.io/Logging_1484/artfynd/A 35783-2025 artfynd.xlsx", "A 35783-2025")</f>
        <v/>
      </c>
      <c r="X2">
        <f>HYPERLINK("https://klasma.github.io/Logging_1484/kartor/A 35783-2025 karta.png", "A 35783-2025")</f>
        <v/>
      </c>
      <c r="Y2">
        <f>HYPERLINK("https://klasma.github.io/Logging_1484/kartor_geotiff/A 35783-2025 georefererad karta.tif", "A 35783-2025")</f>
        <v/>
      </c>
      <c r="AA2">
        <f>HYPERLINK("https://klasma.github.io/Logging_1484/klagomål/A 35783-2025 FSC-klagomål.docx", "A 35783-2025")</f>
        <v/>
      </c>
      <c r="AB2">
        <f>HYPERLINK("https://klasma.github.io/Logging_1484/klagomålsmail/A 35783-2025 FSC-klagomål mail.docx", "A 35783-2025")</f>
        <v/>
      </c>
      <c r="AC2">
        <f>HYPERLINK("https://klasma.github.io/Logging_1484/tillsyn/A 35783-2025 tillsynsbegäran.docx", "A 35783-2025")</f>
        <v/>
      </c>
      <c r="AD2">
        <f>HYPERLINK("https://klasma.github.io/Logging_1484/tillsynsmail/A 35783-2025 tillsynsbegäran mail.docx", "A 35783-2025")</f>
        <v/>
      </c>
    </row>
    <row r="3" ht="15" customHeight="1">
      <c r="A3" t="inlineStr">
        <is>
          <t>A 16879-2022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44675</v>
      </c>
      <c r="E3" s="1" t="n">
        <v>46323</v>
      </c>
      <c r="F3" t="inlineStr">
        <is>
          <t>VÄSTRA GÖTALANDS LÄN</t>
        </is>
      </c>
      <c r="G3" t="inlineStr">
        <is>
          <t>LYSEKIL</t>
        </is>
      </c>
      <c r="I3" t="n">
        <v>3.3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s="2" t="inlineStr">
        <is>
          <t>Grönvit nattviol</t>
        </is>
      </c>
      <c r="W3">
        <f>HYPERLINK("https://klasma.github.io/Logging_1484/artfynd/A 16879-2022 artfynd.xlsx", "A 16879-2022")</f>
        <v/>
      </c>
      <c r="X3">
        <f>HYPERLINK("https://klasma.github.io/Logging_1484/kartor/A 16879-2022 karta.png", "A 16879-2022")</f>
        <v/>
      </c>
      <c r="Y3">
        <f>HYPERLINK("https://klasma.github.io/Logging_1484/kartor_geotiff/A 16879-2022 georefererad karta.tif", "A 16879-2022")</f>
        <v/>
      </c>
      <c r="AA3">
        <f>HYPERLINK("https://klasma.github.io/Logging_1484/klagomål/A 16879-2022 FSC-klagomål.docx", "A 16879-2022")</f>
        <v/>
      </c>
      <c r="AB3">
        <f>HYPERLINK("https://klasma.github.io/Logging_1484/klagomålsmail/A 16879-2022 FSC-klagomål mail.docx", "A 16879-2022")</f>
        <v/>
      </c>
      <c r="AC3">
        <f>HYPERLINK("https://klasma.github.io/Logging_1484/tillsyn/A 16879-2022 tillsynsbegäran.docx", "A 16879-2022")</f>
        <v/>
      </c>
      <c r="AD3">
        <f>HYPERLINK("https://klasma.github.io/Logging_1484/tillsynsmail/A 16879-2022 tillsynsbegäran mail.docx", "A 16879-2022")</f>
        <v/>
      </c>
    </row>
    <row r="4" ht="15" customHeight="1">
      <c r="A4" t="inlineStr">
        <is>
          <t>A 60261-2024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45642</v>
      </c>
      <c r="E4" s="1" t="n">
        <v>46323</v>
      </c>
      <c r="F4" t="inlineStr">
        <is>
          <t>VÄSTRA GÖTALANDS LÄN</t>
        </is>
      </c>
      <c r="G4" t="inlineStr">
        <is>
          <t>LYSEKIL</t>
        </is>
      </c>
      <c r="I4" t="n">
        <v>0.7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Blåsippa</t>
        </is>
      </c>
      <c r="W4">
        <f>HYPERLINK("https://klasma.github.io/Logging_1484/artfynd/A 60261-2024 artfynd.xlsx", "A 60261-2024")</f>
        <v/>
      </c>
      <c r="X4">
        <f>HYPERLINK("https://klasma.github.io/Logging_1484/kartor/A 60261-2024 karta.png", "A 60261-2024")</f>
        <v/>
      </c>
      <c r="Y4">
        <f>HYPERLINK("https://klasma.github.io/Logging_1484/kartor_geotiff/A 60261-2024 georefererad karta.tif", "A 60261-2024")</f>
        <v/>
      </c>
      <c r="AA4">
        <f>HYPERLINK("https://klasma.github.io/Logging_1484/klagomål/A 60261-2024 FSC-klagomål.docx", "A 60261-2024")</f>
        <v/>
      </c>
      <c r="AB4">
        <f>HYPERLINK("https://klasma.github.io/Logging_1484/klagomålsmail/A 60261-2024 FSC-klagomål mail.docx", "A 60261-2024")</f>
        <v/>
      </c>
      <c r="AC4">
        <f>HYPERLINK("https://klasma.github.io/Logging_1484/tillsyn/A 60261-2024 tillsynsbegäran.docx", "A 60261-2024")</f>
        <v/>
      </c>
      <c r="AD4">
        <f>HYPERLINK("https://klasma.github.io/Logging_1484/tillsynsmail/A 60261-2024 tillsynsbegäran mail.docx", "A 60261-2024")</f>
        <v/>
      </c>
    </row>
    <row r="5" ht="15" customHeight="1">
      <c r="A5" t="inlineStr">
        <is>
          <t>A 53422-2023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45229</v>
      </c>
      <c r="E5" s="1" t="n">
        <v>46323</v>
      </c>
      <c r="F5" t="inlineStr">
        <is>
          <t>VÄSTRA GÖTALANDS LÄN</t>
        </is>
      </c>
      <c r="G5" t="inlineStr">
        <is>
          <t>LYSEKIL</t>
        </is>
      </c>
      <c r="I5" t="n">
        <v>3.1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s="2" t="inlineStr">
        <is>
          <t>Huggorm</t>
        </is>
      </c>
      <c r="W5">
        <f>HYPERLINK("https://klasma.github.io/Logging_1484/artfynd/A 53422-2023 artfynd.xlsx", "A 53422-2023")</f>
        <v/>
      </c>
      <c r="X5">
        <f>HYPERLINK("https://klasma.github.io/Logging_1484/kartor/A 53422-2023 karta.png", "A 53422-2023")</f>
        <v/>
      </c>
      <c r="Y5">
        <f>HYPERLINK("https://klasma.github.io/Logging_1484/kartor_geotiff/A 53422-2023 georefererad karta.tif", "A 53422-2023")</f>
        <v/>
      </c>
      <c r="AA5">
        <f>HYPERLINK("https://klasma.github.io/Logging_1484/klagomål/A 53422-2023 FSC-klagomål.docx", "A 53422-2023")</f>
        <v/>
      </c>
      <c r="AB5">
        <f>HYPERLINK("https://klasma.github.io/Logging_1484/klagomålsmail/A 53422-2023 FSC-klagomål mail.docx", "A 53422-2023")</f>
        <v/>
      </c>
      <c r="AC5">
        <f>HYPERLINK("https://klasma.github.io/Logging_1484/tillsyn/A 53422-2023 tillsynsbegäran.docx", "A 53422-2023")</f>
        <v/>
      </c>
      <c r="AD5">
        <f>HYPERLINK("https://klasma.github.io/Logging_1484/tillsynsmail/A 53422-2023 tillsynsbegäran mail.docx", "A 53422-2023")</f>
        <v/>
      </c>
    </row>
    <row r="6" ht="15" customHeight="1">
      <c r="A6" t="inlineStr">
        <is>
          <t>A 61174-2025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46000</v>
      </c>
      <c r="E6" s="1" t="n">
        <v>46323</v>
      </c>
      <c r="F6" t="inlineStr">
        <is>
          <t>VÄSTRA GÖTALANDS LÄN</t>
        </is>
      </c>
      <c r="G6" t="inlineStr">
        <is>
          <t>LYSEKIL</t>
        </is>
      </c>
      <c r="I6" t="n">
        <v>2.8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Nordbjörnbär</t>
        </is>
      </c>
      <c r="W6">
        <f>HYPERLINK("https://klasma.github.io/Logging_1484/artfynd/A 61174-2025 artfynd.xlsx", "A 61174-2025")</f>
        <v/>
      </c>
      <c r="X6">
        <f>HYPERLINK("https://klasma.github.io/Logging_1484/kartor/A 61174-2025 karta.png", "A 61174-2025")</f>
        <v/>
      </c>
      <c r="Y6">
        <f>HYPERLINK("https://klasma.github.io/Logging_1484/kartor_geotiff/A 61174-2025 georefererad karta.tif", "A 61174-2025")</f>
        <v/>
      </c>
      <c r="AA6">
        <f>HYPERLINK("https://klasma.github.io/Logging_1484/klagomål/A 61174-2025 FSC-klagomål.docx", "A 61174-2025")</f>
        <v/>
      </c>
      <c r="AB6">
        <f>HYPERLINK("https://klasma.github.io/Logging_1484/klagomålsmail/A 61174-2025 FSC-klagomål mail.docx", "A 61174-2025")</f>
        <v/>
      </c>
      <c r="AC6">
        <f>HYPERLINK("https://klasma.github.io/Logging_1484/tillsyn/A 61174-2025 tillsynsbegäran.docx", "A 61174-2025")</f>
        <v/>
      </c>
      <c r="AD6">
        <f>HYPERLINK("https://klasma.github.io/Logging_1484/tillsynsmail/A 61174-2025 tillsynsbegäran mail.docx", "A 61174-2025")</f>
        <v/>
      </c>
    </row>
    <row r="7" ht="15" customHeight="1">
      <c r="A7" t="inlineStr">
        <is>
          <t>A 5311-2022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44594</v>
      </c>
      <c r="E7" s="1" t="n">
        <v>46323</v>
      </c>
      <c r="F7" t="inlineStr">
        <is>
          <t>VÄSTRA GÖTALANDS LÄN</t>
        </is>
      </c>
      <c r="G7" t="inlineStr">
        <is>
          <t>LYSEKIL</t>
        </is>
      </c>
      <c r="I7" t="n">
        <v>1.2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3</v>
      </c>
      <c r="U7" t="n">
        <v>3</v>
      </c>
      <c r="V7" s="2" t="inlineStr">
        <is>
          <t>Ask</t>
        </is>
      </c>
      <c r="W7">
        <f>HYPERLINK("https://klasma.github.io/Logging_1484/artfynd/A 5311-2022 artfynd.xlsx", "A 5311-2022")</f>
        <v/>
      </c>
      <c r="X7">
        <f>HYPERLINK("https://klasma.github.io/Logging_1484/kartor/A 5311-2022 karta.png", "A 5311-2022")</f>
        <v/>
      </c>
      <c r="Y7">
        <f>HYPERLINK("https://klasma.github.io/Logging_1484/kartor_geotiff/A 5311-2022 georefererad karta.tif", "A 5311-2022")</f>
        <v/>
      </c>
      <c r="AA7">
        <f>HYPERLINK("https://klasma.github.io/Logging_1484/klagomål/A 5311-2022 FSC-klagomål.docx", "A 5311-2022")</f>
        <v/>
      </c>
      <c r="AB7">
        <f>HYPERLINK("https://klasma.github.io/Logging_1484/klagomålsmail/A 5311-2022 FSC-klagomål mail.docx", "A 5311-2022")</f>
        <v/>
      </c>
      <c r="AC7">
        <f>HYPERLINK("https://klasma.github.io/Logging_1484/tillsyn/A 5311-2022 tillsynsbegäran.docx", "A 5311-2022")</f>
        <v/>
      </c>
      <c r="AD7">
        <f>HYPERLINK("https://klasma.github.io/Logging_1484/tillsynsmail/A 5311-2022 tillsynsbegäran mail.docx", "A 5311-2022")</f>
        <v/>
      </c>
    </row>
    <row r="8" ht="15" customHeight="1">
      <c r="A8" t="inlineStr">
        <is>
          <t>A 61212-2021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44498</v>
      </c>
      <c r="E8" s="1" t="n">
        <v>46323</v>
      </c>
      <c r="F8" t="inlineStr">
        <is>
          <t>VÄSTRA GÖTALANDS LÄN</t>
        </is>
      </c>
      <c r="G8" t="inlineStr">
        <is>
          <t>LYSEKIL</t>
        </is>
      </c>
      <c r="I8" t="n">
        <v>2.1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68739-2021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44529</v>
      </c>
      <c r="E9" s="1" t="n">
        <v>46323</v>
      </c>
      <c r="F9" t="inlineStr">
        <is>
          <t>VÄSTRA GÖTALANDS LÄN</t>
        </is>
      </c>
      <c r="G9" t="inlineStr">
        <is>
          <t>LYSEKIL</t>
        </is>
      </c>
      <c r="I9" t="n">
        <v>1.1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28159-2022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44746</v>
      </c>
      <c r="E10" s="1" t="n">
        <v>46323</v>
      </c>
      <c r="F10" t="inlineStr">
        <is>
          <t>VÄSTRA GÖTALANDS LÄN</t>
        </is>
      </c>
      <c r="G10" t="inlineStr">
        <is>
          <t>LYSEKIL</t>
        </is>
      </c>
      <c r="I10" t="n">
        <v>0.7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43028-2023</t>
        </is>
      </c>
      <c r="B11" t="inlineStr">
        <is>
          <t>avverkningsanmälan</t>
        </is>
      </c>
      <c r="C11" t="inlineStr">
        <is>
          <t>Avverkning för annat ändamål</t>
        </is>
      </c>
      <c r="D11" s="1" t="n">
        <v>45182</v>
      </c>
      <c r="E11" s="1" t="n">
        <v>46323</v>
      </c>
      <c r="F11" t="inlineStr">
        <is>
          <t>VÄSTRA GÖTALANDS LÄN</t>
        </is>
      </c>
      <c r="G11" t="inlineStr">
        <is>
          <t>LYSEKIL</t>
        </is>
      </c>
      <c r="I11" t="n">
        <v>0.6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13250-2024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45386</v>
      </c>
      <c r="E12" s="1" t="n">
        <v>46323</v>
      </c>
      <c r="F12" t="inlineStr">
        <is>
          <t>VÄSTRA GÖTALANDS LÄN</t>
        </is>
      </c>
      <c r="G12" t="inlineStr">
        <is>
          <t>LYSEKIL</t>
        </is>
      </c>
      <c r="I12" t="n">
        <v>0.6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3408-2024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45319</v>
      </c>
      <c r="E13" s="1" t="n">
        <v>46323</v>
      </c>
      <c r="F13" t="inlineStr">
        <is>
          <t>VÄSTRA GÖTALANDS LÄN</t>
        </is>
      </c>
      <c r="G13" t="inlineStr">
        <is>
          <t>LYSEKIL</t>
        </is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60972-2021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44497</v>
      </c>
      <c r="E14" s="1" t="n">
        <v>46323</v>
      </c>
      <c r="F14" t="inlineStr">
        <is>
          <t>VÄSTRA GÖTALANDS LÄN</t>
        </is>
      </c>
      <c r="G14" t="inlineStr">
        <is>
          <t>LYSEKIL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8469-2023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44977</v>
      </c>
      <c r="E15" s="1" t="n">
        <v>46323</v>
      </c>
      <c r="F15" t="inlineStr">
        <is>
          <t>VÄSTRA GÖTALANDS LÄN</t>
        </is>
      </c>
      <c r="G15" t="inlineStr">
        <is>
          <t>LYSEKIL</t>
        </is>
      </c>
      <c r="I15" t="n">
        <v>1.1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10579-2024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45366</v>
      </c>
      <c r="E16" s="1" t="n">
        <v>46323</v>
      </c>
      <c r="F16" t="inlineStr">
        <is>
          <t>VÄSTRA GÖTALANDS LÄN</t>
        </is>
      </c>
      <c r="G16" t="inlineStr">
        <is>
          <t>LYSEKIL</t>
        </is>
      </c>
      <c r="I16" t="n">
        <v>1.3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40154-2025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45894</v>
      </c>
      <c r="E17" s="1" t="n">
        <v>46323</v>
      </c>
      <c r="F17" t="inlineStr">
        <is>
          <t>VÄSTRA GÖTALANDS LÄN</t>
        </is>
      </c>
      <c r="G17" t="inlineStr">
        <is>
          <t>LYSEKIL</t>
        </is>
      </c>
      <c r="I17" t="n">
        <v>1.7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13246-2024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45386</v>
      </c>
      <c r="E18" s="1" t="n">
        <v>46323</v>
      </c>
      <c r="F18" t="inlineStr">
        <is>
          <t>VÄSTRA GÖTALANDS LÄN</t>
        </is>
      </c>
      <c r="G18" t="inlineStr">
        <is>
          <t>LYSEKIL</t>
        </is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41395-2025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45901</v>
      </c>
      <c r="E19" s="1" t="n">
        <v>46323</v>
      </c>
      <c r="F19" t="inlineStr">
        <is>
          <t>VÄSTRA GÖTALANDS LÄN</t>
        </is>
      </c>
      <c r="G19" t="inlineStr">
        <is>
          <t>LYSEKIL</t>
        </is>
      </c>
      <c r="I19" t="n">
        <v>1.9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42471-2025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45905</v>
      </c>
      <c r="E20" s="1" t="n">
        <v>46323</v>
      </c>
      <c r="F20" t="inlineStr">
        <is>
          <t>VÄSTRA GÖTALANDS LÄN</t>
        </is>
      </c>
      <c r="G20" t="inlineStr">
        <is>
          <t>LYSEKIL</t>
        </is>
      </c>
      <c r="I20" t="n">
        <v>2.7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43151-2025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45910</v>
      </c>
      <c r="E21" s="1" t="n">
        <v>46323</v>
      </c>
      <c r="F21" t="inlineStr">
        <is>
          <t>VÄSTRA GÖTALANDS LÄN</t>
        </is>
      </c>
      <c r="G21" t="inlineStr">
        <is>
          <t>LYSEKIL</t>
        </is>
      </c>
      <c r="I21" t="n">
        <v>2.9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44022-2025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45915</v>
      </c>
      <c r="E22" s="1" t="n">
        <v>46323</v>
      </c>
      <c r="F22" t="inlineStr">
        <is>
          <t>VÄSTRA GÖTALANDS LÄN</t>
        </is>
      </c>
      <c r="G22" t="inlineStr">
        <is>
          <t>LYSEKIL</t>
        </is>
      </c>
      <c r="I22" t="n">
        <v>2.1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58793-2022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44903</v>
      </c>
      <c r="E23" s="1" t="n">
        <v>46323</v>
      </c>
      <c r="F23" t="inlineStr">
        <is>
          <t>VÄSTRA GÖTALANDS LÄN</t>
        </is>
      </c>
      <c r="G23" t="inlineStr">
        <is>
          <t>LYSEKIL</t>
        </is>
      </c>
      <c r="I23" t="n">
        <v>1.5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60262-2024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45642</v>
      </c>
      <c r="E24" s="1" t="n">
        <v>46323</v>
      </c>
      <c r="F24" t="inlineStr">
        <is>
          <t>VÄSTRA GÖTALANDS LÄN</t>
        </is>
      </c>
      <c r="G24" t="inlineStr">
        <is>
          <t>LYSEKIL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60265-2024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45642</v>
      </c>
      <c r="E25" s="1" t="n">
        <v>46323</v>
      </c>
      <c r="F25" t="inlineStr">
        <is>
          <t>VÄSTRA GÖTALANDS LÄN</t>
        </is>
      </c>
      <c r="G25" t="inlineStr">
        <is>
          <t>LYSEKIL</t>
        </is>
      </c>
      <c r="I25" t="n">
        <v>1.7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53423-2023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45229</v>
      </c>
      <c r="E26" s="1" t="n">
        <v>46323</v>
      </c>
      <c r="F26" t="inlineStr">
        <is>
          <t>VÄSTRA GÖTALANDS LÄN</t>
        </is>
      </c>
      <c r="G26" t="inlineStr">
        <is>
          <t>LYSEKIL</t>
        </is>
      </c>
      <c r="I26" t="n">
        <v>1.5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48153-2025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45933</v>
      </c>
      <c r="E27" s="1" t="n">
        <v>46323</v>
      </c>
      <c r="F27" t="inlineStr">
        <is>
          <t>VÄSTRA GÖTALANDS LÄN</t>
        </is>
      </c>
      <c r="G27" t="inlineStr">
        <is>
          <t>LYSEKIL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60255-2024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45642</v>
      </c>
      <c r="E28" s="1" t="n">
        <v>46323</v>
      </c>
      <c r="F28" t="inlineStr">
        <is>
          <t>VÄSTRA GÖTALANDS LÄN</t>
        </is>
      </c>
      <c r="G28" t="inlineStr">
        <is>
          <t>LYSEKIL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34623-2025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45847</v>
      </c>
      <c r="E29" s="1" t="n">
        <v>46323</v>
      </c>
      <c r="F29" t="inlineStr">
        <is>
          <t>VÄSTRA GÖTALANDS LÄN</t>
        </is>
      </c>
      <c r="G29" t="inlineStr">
        <is>
          <t>LYSEKIL</t>
        </is>
      </c>
      <c r="I29" t="n">
        <v>3.4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48403-2024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45590</v>
      </c>
      <c r="E30" s="1" t="n">
        <v>46323</v>
      </c>
      <c r="F30" t="inlineStr">
        <is>
          <t>VÄSTRA GÖTALANDS LÄN</t>
        </is>
      </c>
      <c r="G30" t="inlineStr">
        <is>
          <t>LYSEKIL</t>
        </is>
      </c>
      <c r="I30" t="n">
        <v>1.1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37149-2023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45155</v>
      </c>
      <c r="E31" s="1" t="n">
        <v>46323</v>
      </c>
      <c r="F31" t="inlineStr">
        <is>
          <t>VÄSTRA GÖTALANDS LÄN</t>
        </is>
      </c>
      <c r="G31" t="inlineStr">
        <is>
          <t>LYSEKIL</t>
        </is>
      </c>
      <c r="I31" t="n">
        <v>1.5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54366-2025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45965</v>
      </c>
      <c r="E32" s="1" t="n">
        <v>46323</v>
      </c>
      <c r="F32" t="inlineStr">
        <is>
          <t>VÄSTRA GÖTALANDS LÄN</t>
        </is>
      </c>
      <c r="G32" t="inlineStr">
        <is>
          <t>LYSEKIL</t>
        </is>
      </c>
      <c r="I32" t="n">
        <v>2.6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52-2024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45293</v>
      </c>
      <c r="E33" s="1" t="n">
        <v>46323</v>
      </c>
      <c r="F33" t="inlineStr">
        <is>
          <t>VÄSTRA GÖTALANDS LÄN</t>
        </is>
      </c>
      <c r="G33" t="inlineStr">
        <is>
          <t>LYSEKIL</t>
        </is>
      </c>
      <c r="I33" t="n">
        <v>2.7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57532-2025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45980</v>
      </c>
      <c r="E34" s="1" t="n">
        <v>46323</v>
      </c>
      <c r="F34" t="inlineStr">
        <is>
          <t>VÄSTRA GÖTALANDS LÄN</t>
        </is>
      </c>
      <c r="G34" t="inlineStr">
        <is>
          <t>LYSEKIL</t>
        </is>
      </c>
      <c r="I34" t="n">
        <v>2.5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57530-2025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45980</v>
      </c>
      <c r="E35" s="1" t="n">
        <v>46323</v>
      </c>
      <c r="F35" t="inlineStr">
        <is>
          <t>VÄSTRA GÖTALANDS LÄN</t>
        </is>
      </c>
      <c r="G35" t="inlineStr">
        <is>
          <t>LYSEKIL</t>
        </is>
      </c>
      <c r="I35" t="n">
        <v>2.9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15108-2023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45016</v>
      </c>
      <c r="E36" s="1" t="n">
        <v>46323</v>
      </c>
      <c r="F36" t="inlineStr">
        <is>
          <t>VÄSTRA GÖTALANDS LÄN</t>
        </is>
      </c>
      <c r="G36" t="inlineStr">
        <is>
          <t>LYSEKIL</t>
        </is>
      </c>
      <c r="I36" t="n">
        <v>1.7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44536-2024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45574</v>
      </c>
      <c r="E37" s="1" t="n">
        <v>46323</v>
      </c>
      <c r="F37" t="inlineStr">
        <is>
          <t>VÄSTRA GÖTALANDS LÄN</t>
        </is>
      </c>
      <c r="G37" t="inlineStr">
        <is>
          <t>LYSEKIL</t>
        </is>
      </c>
      <c r="I37" t="n">
        <v>1.7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37583-2024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45541</v>
      </c>
      <c r="E38" s="1" t="n">
        <v>46323</v>
      </c>
      <c r="F38" t="inlineStr">
        <is>
          <t>VÄSTRA GÖTALANDS LÄN</t>
        </is>
      </c>
      <c r="G38" t="inlineStr">
        <is>
          <t>LYSEKIL</t>
        </is>
      </c>
      <c r="I38" t="n">
        <v>0.7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22605-2025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45789</v>
      </c>
      <c r="E39" s="1" t="n">
        <v>46323</v>
      </c>
      <c r="F39" t="inlineStr">
        <is>
          <t>VÄSTRA GÖTALANDS LÄN</t>
        </is>
      </c>
      <c r="G39" t="inlineStr">
        <is>
          <t>LYSEKIL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61991-2024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45653</v>
      </c>
      <c r="E40" s="1" t="n">
        <v>46323</v>
      </c>
      <c r="F40" t="inlineStr">
        <is>
          <t>VÄSTRA GÖTALANDS LÄN</t>
        </is>
      </c>
      <c r="G40" t="inlineStr">
        <is>
          <t>LYSEKIL</t>
        </is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3588-2026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46042</v>
      </c>
      <c r="E41" s="1" t="n">
        <v>46323</v>
      </c>
      <c r="F41" t="inlineStr">
        <is>
          <t>VÄSTRA GÖTALANDS LÄN</t>
        </is>
      </c>
      <c r="G41" t="inlineStr">
        <is>
          <t>LYSEKIL</t>
        </is>
      </c>
      <c r="I41" t="n">
        <v>1.5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58619-2024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45635</v>
      </c>
      <c r="E42" s="1" t="n">
        <v>46323</v>
      </c>
      <c r="F42" t="inlineStr">
        <is>
          <t>VÄSTRA GÖTALANDS LÄN</t>
        </is>
      </c>
      <c r="G42" t="inlineStr">
        <is>
          <t>LYSEKIL</t>
        </is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2269-2025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45673</v>
      </c>
      <c r="E43" s="1" t="n">
        <v>46323</v>
      </c>
      <c r="F43" t="inlineStr">
        <is>
          <t>VÄSTRA GÖTALANDS LÄN</t>
        </is>
      </c>
      <c r="G43" t="inlineStr">
        <is>
          <t>LYSEKIL</t>
        </is>
      </c>
      <c r="I43" t="n">
        <v>2.8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41581-2023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45173</v>
      </c>
      <c r="E44" s="1" t="n">
        <v>46323</v>
      </c>
      <c r="F44" t="inlineStr">
        <is>
          <t>VÄSTRA GÖTALANDS LÄN</t>
        </is>
      </c>
      <c r="G44" t="inlineStr">
        <is>
          <t>LYSEKIL</t>
        </is>
      </c>
      <c r="I44" t="n">
        <v>2.3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19794-2023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45051</v>
      </c>
      <c r="E45" s="1" t="n">
        <v>46323</v>
      </c>
      <c r="F45" t="inlineStr">
        <is>
          <t>VÄSTRA GÖTALANDS LÄN</t>
        </is>
      </c>
      <c r="G45" t="inlineStr">
        <is>
          <t>LYSEKIL</t>
        </is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22793-2026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46157</v>
      </c>
      <c r="E46" s="1" t="n">
        <v>46323</v>
      </c>
      <c r="F46" t="inlineStr">
        <is>
          <t>VÄSTRA GÖTALANDS LÄN</t>
        </is>
      </c>
      <c r="G46" t="inlineStr">
        <is>
          <t>LYSEKIL</t>
        </is>
      </c>
      <c r="I46" t="n">
        <v>3.5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63886-2023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45278</v>
      </c>
      <c r="E47" s="1" t="n">
        <v>46323</v>
      </c>
      <c r="F47" t="inlineStr">
        <is>
          <t>VÄSTRA GÖTALANDS LÄN</t>
        </is>
      </c>
      <c r="G47" t="inlineStr">
        <is>
          <t>LYSEKIL</t>
        </is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31834-2026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46230</v>
      </c>
      <c r="E48" s="1" t="n">
        <v>46323</v>
      </c>
      <c r="F48" t="inlineStr">
        <is>
          <t>VÄSTRA GÖTALANDS LÄN</t>
        </is>
      </c>
      <c r="G48" t="inlineStr">
        <is>
          <t>LYSEKIL</t>
        </is>
      </c>
      <c r="I48" t="n">
        <v>3.3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7509-2026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46059</v>
      </c>
      <c r="E49" s="1" t="n">
        <v>46323</v>
      </c>
      <c r="F49" t="inlineStr">
        <is>
          <t>VÄSTRA GÖTALANDS LÄN</t>
        </is>
      </c>
      <c r="G49" t="inlineStr">
        <is>
          <t>LYSEKIL</t>
        </is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7506-2026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46059</v>
      </c>
      <c r="E50" s="1" t="n">
        <v>46323</v>
      </c>
      <c r="F50" t="inlineStr">
        <is>
          <t>VÄSTRA GÖTALANDS LÄN</t>
        </is>
      </c>
      <c r="G50" t="inlineStr">
        <is>
          <t>LYSEKIL</t>
        </is>
      </c>
      <c r="I50" t="n">
        <v>2.4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37077-2023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45155</v>
      </c>
      <c r="E51" s="1" t="n">
        <v>46323</v>
      </c>
      <c r="F51" t="inlineStr">
        <is>
          <t>VÄSTRA GÖTALANDS LÄN</t>
        </is>
      </c>
      <c r="G51" t="inlineStr">
        <is>
          <t>LYSEKIL</t>
        </is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44146-2023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45188</v>
      </c>
      <c r="E52" s="1" t="n">
        <v>46323</v>
      </c>
      <c r="F52" t="inlineStr">
        <is>
          <t>VÄSTRA GÖTALANDS LÄN</t>
        </is>
      </c>
      <c r="G52" t="inlineStr">
        <is>
          <t>LYSEKIL</t>
        </is>
      </c>
      <c r="I52" t="n">
        <v>2.3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8328-2026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46064</v>
      </c>
      <c r="E53" s="1" t="n">
        <v>46323</v>
      </c>
      <c r="F53" t="inlineStr">
        <is>
          <t>VÄSTRA GÖTALANDS LÄN</t>
        </is>
      </c>
      <c r="G53" t="inlineStr">
        <is>
          <t>LYSEKIL</t>
        </is>
      </c>
      <c r="I53" t="n">
        <v>1.3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9149-2026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46070</v>
      </c>
      <c r="E54" s="1" t="n">
        <v>46323</v>
      </c>
      <c r="F54" t="inlineStr">
        <is>
          <t>VÄSTRA GÖTALANDS LÄN</t>
        </is>
      </c>
      <c r="G54" t="inlineStr">
        <is>
          <t>LYSEKIL</t>
        </is>
      </c>
      <c r="I54" t="n">
        <v>3.4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10350-2026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46076</v>
      </c>
      <c r="E55" s="1" t="n">
        <v>46323</v>
      </c>
      <c r="F55" t="inlineStr">
        <is>
          <t>VÄSTRA GÖTALANDS LÄN</t>
        </is>
      </c>
      <c r="G55" t="inlineStr">
        <is>
          <t>LYSEKIL</t>
        </is>
      </c>
      <c r="I55" t="n">
        <v>1.1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58789-2022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44903</v>
      </c>
      <c r="E56" s="1" t="n">
        <v>46323</v>
      </c>
      <c r="F56" t="inlineStr">
        <is>
          <t>VÄSTRA GÖTALANDS LÄN</t>
        </is>
      </c>
      <c r="G56" t="inlineStr">
        <is>
          <t>LYSEKIL</t>
        </is>
      </c>
      <c r="I56" t="n">
        <v>0.4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58794-2022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44903</v>
      </c>
      <c r="E57" s="1" t="n">
        <v>46323</v>
      </c>
      <c r="F57" t="inlineStr">
        <is>
          <t>VÄSTRA GÖTALANDS LÄN</t>
        </is>
      </c>
      <c r="G57" t="inlineStr">
        <is>
          <t>LYSEKIL</t>
        </is>
      </c>
      <c r="I57" t="n">
        <v>0.6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10217-2026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46076</v>
      </c>
      <c r="E58" s="1" t="n">
        <v>46323</v>
      </c>
      <c r="F58" t="inlineStr">
        <is>
          <t>VÄSTRA GÖTALANDS LÄN</t>
        </is>
      </c>
      <c r="G58" t="inlineStr">
        <is>
          <t>LYSEKIL</t>
        </is>
      </c>
      <c r="I58" t="n">
        <v>2.8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32827-2026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46243</v>
      </c>
      <c r="E59" s="1" t="n">
        <v>46323</v>
      </c>
      <c r="F59" t="inlineStr">
        <is>
          <t>VÄSTRA GÖTALANDS LÄN</t>
        </is>
      </c>
      <c r="G59" t="inlineStr">
        <is>
          <t>LYSEKIL</t>
        </is>
      </c>
      <c r="I59" t="n">
        <v>1.5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12186-2026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46086</v>
      </c>
      <c r="E60" s="1" t="n">
        <v>46323</v>
      </c>
      <c r="F60" t="inlineStr">
        <is>
          <t>VÄSTRA GÖTALANDS LÄN</t>
        </is>
      </c>
      <c r="G60" t="inlineStr">
        <is>
          <t>LYSEKIL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12109-2026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46086</v>
      </c>
      <c r="E61" s="1" t="n">
        <v>46323</v>
      </c>
      <c r="F61" t="inlineStr">
        <is>
          <t>VÄSTRA GÖTALANDS LÄN</t>
        </is>
      </c>
      <c r="G61" t="inlineStr">
        <is>
          <t>LYSEKIL</t>
        </is>
      </c>
      <c r="I61" t="n">
        <v>9.199999999999999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12532-2026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46090</v>
      </c>
      <c r="E62" s="1" t="n">
        <v>46323</v>
      </c>
      <c r="F62" t="inlineStr">
        <is>
          <t>VÄSTRA GÖTALANDS LÄN</t>
        </is>
      </c>
      <c r="G62" t="inlineStr">
        <is>
          <t>LYSEKIL</t>
        </is>
      </c>
      <c r="I62" t="n">
        <v>2.3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12523-2026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46090</v>
      </c>
      <c r="E63" s="1" t="n">
        <v>46323</v>
      </c>
      <c r="F63" t="inlineStr">
        <is>
          <t>VÄSTRA GÖTALANDS LÄN</t>
        </is>
      </c>
      <c r="G63" t="inlineStr">
        <is>
          <t>LYSEKIL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14123-2026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46099</v>
      </c>
      <c r="E64" s="1" t="n">
        <v>46323</v>
      </c>
      <c r="F64" t="inlineStr">
        <is>
          <t>VÄSTRA GÖTALANDS LÄN</t>
        </is>
      </c>
      <c r="G64" t="inlineStr">
        <is>
          <t>LYSEKIL</t>
        </is>
      </c>
      <c r="I64" t="n">
        <v>2.6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20683-2024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45436</v>
      </c>
      <c r="E65" s="1" t="n">
        <v>46323</v>
      </c>
      <c r="F65" t="inlineStr">
        <is>
          <t>VÄSTRA GÖTALANDS LÄN</t>
        </is>
      </c>
      <c r="G65" t="inlineStr">
        <is>
          <t>LYSEKIL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16233-2026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46111</v>
      </c>
      <c r="E66" s="1" t="n">
        <v>46323</v>
      </c>
      <c r="F66" t="inlineStr">
        <is>
          <t>VÄSTRA GÖTALANDS LÄN</t>
        </is>
      </c>
      <c r="G66" t="inlineStr">
        <is>
          <t>LYSEKIL</t>
        </is>
      </c>
      <c r="I66" t="n">
        <v>5.3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16607-2026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46112</v>
      </c>
      <c r="E67" s="1" t="n">
        <v>46323</v>
      </c>
      <c r="F67" t="inlineStr">
        <is>
          <t>VÄSTRA GÖTALANDS LÄN</t>
        </is>
      </c>
      <c r="G67" t="inlineStr">
        <is>
          <t>LYSEKIL</t>
        </is>
      </c>
      <c r="I67" t="n">
        <v>1.3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59223-2022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44899</v>
      </c>
      <c r="E68" s="1" t="n">
        <v>46323</v>
      </c>
      <c r="F68" t="inlineStr">
        <is>
          <t>VÄSTRA GÖTALANDS LÄN</t>
        </is>
      </c>
      <c r="G68" t="inlineStr">
        <is>
          <t>LYSEKIL</t>
        </is>
      </c>
      <c r="I68" t="n">
        <v>1.4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8464-2023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44977</v>
      </c>
      <c r="E69" s="1" t="n">
        <v>46323</v>
      </c>
      <c r="F69" t="inlineStr">
        <is>
          <t>VÄSTRA GÖTALANDS LÄN</t>
        </is>
      </c>
      <c r="G69" t="inlineStr">
        <is>
          <t>LYSEKIL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60969-2021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44497</v>
      </c>
      <c r="E70" s="1" t="n">
        <v>46323</v>
      </c>
      <c r="F70" t="inlineStr">
        <is>
          <t>VÄSTRA GÖTALANDS LÄN</t>
        </is>
      </c>
      <c r="G70" t="inlineStr">
        <is>
          <t>LYSEKIL</t>
        </is>
      </c>
      <c r="I70" t="n">
        <v>1.4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18831-2026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46128</v>
      </c>
      <c r="E71" s="1" t="n">
        <v>46323</v>
      </c>
      <c r="F71" t="inlineStr">
        <is>
          <t>VÄSTRA GÖTALANDS LÄN</t>
        </is>
      </c>
      <c r="G71" t="inlineStr">
        <is>
          <t>LYSEKIL</t>
        </is>
      </c>
      <c r="I71" t="n">
        <v>1.6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19309-2026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46133</v>
      </c>
      <c r="E72" s="1" t="n">
        <v>46323</v>
      </c>
      <c r="F72" t="inlineStr">
        <is>
          <t>VÄSTRA GÖTALANDS LÄN</t>
        </is>
      </c>
      <c r="G72" t="inlineStr">
        <is>
          <t>LYSEKIL</t>
        </is>
      </c>
      <c r="I72" t="n">
        <v>1.4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42006-2026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46303</v>
      </c>
      <c r="E73" s="1" t="n">
        <v>46323</v>
      </c>
      <c r="F73" t="inlineStr">
        <is>
          <t>VÄSTRA GÖTALANDS LÄN</t>
        </is>
      </c>
      <c r="G73" t="inlineStr">
        <is>
          <t>LYSEKIL</t>
        </is>
      </c>
      <c r="I73" t="n">
        <v>6.2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35402-2026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46261</v>
      </c>
      <c r="E74" s="1" t="n">
        <v>46323</v>
      </c>
      <c r="F74" t="inlineStr">
        <is>
          <t>VÄSTRA GÖTALANDS LÄN</t>
        </is>
      </c>
      <c r="G74" t="inlineStr">
        <is>
          <t>LYSEKIL</t>
        </is>
      </c>
      <c r="I74" t="n">
        <v>3.1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20684-2024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45436</v>
      </c>
      <c r="E75" s="1" t="n">
        <v>46323</v>
      </c>
      <c r="F75" t="inlineStr">
        <is>
          <t>VÄSTRA GÖTALANDS LÄN</t>
        </is>
      </c>
      <c r="G75" t="inlineStr">
        <is>
          <t>LYSEKIL</t>
        </is>
      </c>
      <c r="I75" t="n">
        <v>1.2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20685-2024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45436</v>
      </c>
      <c r="E76" s="1" t="n">
        <v>46323</v>
      </c>
      <c r="F76" t="inlineStr">
        <is>
          <t>VÄSTRA GÖTALANDS LÄN</t>
        </is>
      </c>
      <c r="G76" t="inlineStr">
        <is>
          <t>LYSEKIL</t>
        </is>
      </c>
      <c r="I76" t="n">
        <v>1.5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13239-2024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45386</v>
      </c>
      <c r="E77" s="1" t="n">
        <v>46323</v>
      </c>
      <c r="F77" t="inlineStr">
        <is>
          <t>VÄSTRA GÖTALANDS LÄN</t>
        </is>
      </c>
      <c r="G77" t="inlineStr">
        <is>
          <t>LYSEKIL</t>
        </is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42964-2026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46310</v>
      </c>
      <c r="E78" s="1" t="n">
        <v>46323</v>
      </c>
      <c r="F78" t="inlineStr">
        <is>
          <t>VÄSTRA GÖTALANDS LÄN</t>
        </is>
      </c>
      <c r="G78" t="inlineStr">
        <is>
          <t>LYSEKIL</t>
        </is>
      </c>
      <c r="I78" t="n">
        <v>2.1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42968-2026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46310</v>
      </c>
      <c r="E79" s="1" t="n">
        <v>46323</v>
      </c>
      <c r="F79" t="inlineStr">
        <is>
          <t>VÄSTRA GÖTALANDS LÄN</t>
        </is>
      </c>
      <c r="G79" t="inlineStr">
        <is>
          <t>LYSEKIL</t>
        </is>
      </c>
      <c r="I79" t="n">
        <v>0.9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35911-2026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46266</v>
      </c>
      <c r="E80" s="1" t="n">
        <v>46323</v>
      </c>
      <c r="F80" t="inlineStr">
        <is>
          <t>VÄSTRA GÖTALANDS LÄN</t>
        </is>
      </c>
      <c r="G80" t="inlineStr">
        <is>
          <t>LYSEKIL</t>
        </is>
      </c>
      <c r="H80" t="inlineStr">
        <is>
          <t>Kommuner</t>
        </is>
      </c>
      <c r="I80" t="n">
        <v>1.6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39085-2023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45164</v>
      </c>
      <c r="E81" s="1" t="n">
        <v>46323</v>
      </c>
      <c r="F81" t="inlineStr">
        <is>
          <t>VÄSTRA GÖTALANDS LÄN</t>
        </is>
      </c>
      <c r="G81" t="inlineStr">
        <is>
          <t>LYSEKIL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440-2023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44929</v>
      </c>
      <c r="E82" s="1" t="n">
        <v>46323</v>
      </c>
      <c r="F82" t="inlineStr">
        <is>
          <t>VÄSTRA GÖTALANDS LÄN</t>
        </is>
      </c>
      <c r="G82" t="inlineStr">
        <is>
          <t>LYSEKIL</t>
        </is>
      </c>
      <c r="I82" t="n">
        <v>4.2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8474-2023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44977</v>
      </c>
      <c r="E83" s="1" t="n">
        <v>46323</v>
      </c>
      <c r="F83" t="inlineStr">
        <is>
          <t>VÄSTRA GÖTALANDS LÄN</t>
        </is>
      </c>
      <c r="G83" t="inlineStr">
        <is>
          <t>LYSEKIL</t>
        </is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18138-2025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45761</v>
      </c>
      <c r="E84" s="1" t="n">
        <v>46323</v>
      </c>
      <c r="F84" t="inlineStr">
        <is>
          <t>VÄSTRA GÖTALANDS LÄN</t>
        </is>
      </c>
      <c r="G84" t="inlineStr">
        <is>
          <t>LYSEKIL</t>
        </is>
      </c>
      <c r="I84" t="n">
        <v>0.8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18142-2025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45761</v>
      </c>
      <c r="E85" s="1" t="n">
        <v>46323</v>
      </c>
      <c r="F85" t="inlineStr">
        <is>
          <t>VÄSTRA GÖTALANDS LÄN</t>
        </is>
      </c>
      <c r="G85" t="inlineStr">
        <is>
          <t>LYSEKIL</t>
        </is>
      </c>
      <c r="I85" t="n">
        <v>1.6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18143-2025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45761</v>
      </c>
      <c r="E86" s="1" t="n">
        <v>46323</v>
      </c>
      <c r="F86" t="inlineStr">
        <is>
          <t>VÄSTRA GÖTALANDS LÄN</t>
        </is>
      </c>
      <c r="G86" t="inlineStr">
        <is>
          <t>LYSEKIL</t>
        </is>
      </c>
      <c r="I86" t="n">
        <v>1.3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22411-2026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46154</v>
      </c>
      <c r="E87" s="1" t="n">
        <v>46323</v>
      </c>
      <c r="F87" t="inlineStr">
        <is>
          <t>VÄSTRA GÖTALANDS LÄN</t>
        </is>
      </c>
      <c r="G87" t="inlineStr">
        <is>
          <t>LYSEKIL</t>
        </is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22407-2026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46154</v>
      </c>
      <c r="E88" s="1" t="n">
        <v>46323</v>
      </c>
      <c r="F88" t="inlineStr">
        <is>
          <t>VÄSTRA GÖTALANDS LÄN</t>
        </is>
      </c>
      <c r="G88" t="inlineStr">
        <is>
          <t>LYSEKIL</t>
        </is>
      </c>
      <c r="I88" t="n">
        <v>4.4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22465-2026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46155</v>
      </c>
      <c r="E89" s="1" t="n">
        <v>46323</v>
      </c>
      <c r="F89" t="inlineStr">
        <is>
          <t>VÄSTRA GÖTALANDS LÄN</t>
        </is>
      </c>
      <c r="G89" t="inlineStr">
        <is>
          <t>LYSEKIL</t>
        </is>
      </c>
      <c r="I89" t="n">
        <v>10.4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35139-2025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45852</v>
      </c>
      <c r="E90" s="1" t="n">
        <v>46323</v>
      </c>
      <c r="F90" t="inlineStr">
        <is>
          <t>VÄSTRA GÖTALANDS LÄN</t>
        </is>
      </c>
      <c r="G90" t="inlineStr">
        <is>
          <t>LYSEKIL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35135-2025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45852</v>
      </c>
      <c r="E91" s="1" t="n">
        <v>46323</v>
      </c>
      <c r="F91" t="inlineStr">
        <is>
          <t>VÄSTRA GÖTALANDS LÄN</t>
        </is>
      </c>
      <c r="G91" t="inlineStr">
        <is>
          <t>LYSEKIL</t>
        </is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35640-2025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45859</v>
      </c>
      <c r="E92" s="1" t="n">
        <v>46323</v>
      </c>
      <c r="F92" t="inlineStr">
        <is>
          <t>VÄSTRA GÖTALANDS LÄN</t>
        </is>
      </c>
      <c r="G92" t="inlineStr">
        <is>
          <t>LYSEKIL</t>
        </is>
      </c>
      <c r="I92" t="n">
        <v>1.8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>
      <c r="A93" t="inlineStr">
        <is>
          <t>S 986-2023</t>
        </is>
      </c>
      <c r="B93" t="inlineStr">
        <is>
          <t>samrådsanmälan</t>
        </is>
      </c>
      <c r="C93" t="inlineStr">
        <is>
          <t>Annan skogsbruksåtgärd</t>
        </is>
      </c>
      <c r="D93" s="1" t="n">
        <v>45006</v>
      </c>
      <c r="E93" s="1" t="n">
        <v>46323</v>
      </c>
      <c r="F93" t="inlineStr">
        <is>
          <t>VÄSTRA GÖTALANDS LÄN</t>
        </is>
      </c>
      <c r="G93" t="inlineStr">
        <is>
          <t>LYSEKIL</t>
        </is>
      </c>
      <c r="H93" t="inlineStr">
        <is>
          <t>Kommuner</t>
        </is>
      </c>
      <c r="I93" t="n">
        <v>0.9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2026-10-28T03:14:57Z</dcterms:created>
  <dcterms:modified xmlns:dcterms="http://purl.org/dc/terms/" xmlns:xsi="http://www.w3.org/2001/XMLSchema-instance" xsi:type="dcterms:W3CDTF">2026-10-28T03:14:57Z</dcterms:modified>
</cp:coreProperties>
</file>