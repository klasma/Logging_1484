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17141-2019</t>
        </is>
      </c>
      <c r="B2" s="1" t="n">
        <v>43549</v>
      </c>
      <c r="C2" s="1" t="n">
        <v>45351</v>
      </c>
      <c r="D2" t="inlineStr">
        <is>
          <t>VÄSTRA GÖTALANDS LÄN</t>
        </is>
      </c>
      <c r="E2" t="inlineStr">
        <is>
          <t>LYSEKIL</t>
        </is>
      </c>
      <c r="G2" t="n">
        <v>4.1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Svinrot</t>
        </is>
      </c>
      <c r="S2">
        <f>HYPERLINK("https://klasma.github.io/Logging_1484/artfynd/A 17141-2019 artfynd.xlsx", "A 17141-2019")</f>
        <v/>
      </c>
      <c r="T2">
        <f>HYPERLINK("https://klasma.github.io/Logging_1484/kartor/A 17141-2019 karta.png", "A 17141-2019")</f>
        <v/>
      </c>
      <c r="V2">
        <f>HYPERLINK("https://klasma.github.io/Logging_1484/klagomål/A 17141-2019 FSC-klagomål.docx", "A 17141-2019")</f>
        <v/>
      </c>
      <c r="W2">
        <f>HYPERLINK("https://klasma.github.io/Logging_1484/klagomålsmail/A 17141-2019 FSC-klagomål mail.docx", "A 17141-2019")</f>
        <v/>
      </c>
      <c r="X2">
        <f>HYPERLINK("https://klasma.github.io/Logging_1484/tillsyn/A 17141-2019 tillsynsbegäran.docx", "A 17141-2019")</f>
        <v/>
      </c>
      <c r="Y2">
        <f>HYPERLINK("https://klasma.github.io/Logging_1484/tillsynsmail/A 17141-2019 tillsynsbegäran mail.docx", "A 17141-2019")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45351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45351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45351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45351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37050-2023</t>
        </is>
      </c>
      <c r="B7" s="1" t="n">
        <v>45155</v>
      </c>
      <c r="C7" s="1" t="n">
        <v>45351</v>
      </c>
      <c r="D7" t="inlineStr">
        <is>
          <t>VÄSTRA GÖTALANDS LÄN</t>
        </is>
      </c>
      <c r="E7" t="inlineStr">
        <is>
          <t>LYSEKIL</t>
        </is>
      </c>
      <c r="G7" t="n">
        <v>4.4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</t>
        </is>
      </c>
      <c r="S7">
        <f>HYPERLINK("https://klasma.github.io/Logging_1484/artfynd/A 37050-2023 artfynd.xlsx", "A 37050-2023")</f>
        <v/>
      </c>
      <c r="T7">
        <f>HYPERLINK("https://klasma.github.io/Logging_1484/kartor/A 37050-2023 karta.png", "A 37050-2023")</f>
        <v/>
      </c>
      <c r="V7">
        <f>HYPERLINK("https://klasma.github.io/Logging_1484/klagomål/A 37050-2023 FSC-klagomål.docx", "A 37050-2023")</f>
        <v/>
      </c>
      <c r="W7">
        <f>HYPERLINK("https://klasma.github.io/Logging_1484/klagomålsmail/A 37050-2023 FSC-klagomål mail.docx", "A 37050-2023")</f>
        <v/>
      </c>
      <c r="X7">
        <f>HYPERLINK("https://klasma.github.io/Logging_1484/tillsyn/A 37050-2023 tillsynsbegäran.docx", "A 37050-2023")</f>
        <v/>
      </c>
      <c r="Y7">
        <f>HYPERLINK("https://klasma.github.io/Logging_1484/tillsynsmail/A 37050-2023 tillsynsbegäran mail.docx", "A 37050-2023")</f>
        <v/>
      </c>
    </row>
    <row r="8" ht="15" customHeight="1">
      <c r="A8" t="inlineStr">
        <is>
          <t>A 38945-2018</t>
        </is>
      </c>
      <c r="B8" s="1" t="n">
        <v>43338</v>
      </c>
      <c r="C8" s="1" t="n">
        <v>45351</v>
      </c>
      <c r="D8" t="inlineStr">
        <is>
          <t>VÄSTRA GÖTALANDS LÄN</t>
        </is>
      </c>
      <c r="E8" t="inlineStr">
        <is>
          <t>LYSEKIL</t>
        </is>
      </c>
      <c r="G8" t="n">
        <v>3.3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38938-2018</t>
        </is>
      </c>
      <c r="B9" s="1" t="n">
        <v>43338</v>
      </c>
      <c r="C9" s="1" t="n">
        <v>45351</v>
      </c>
      <c r="D9" t="inlineStr">
        <is>
          <t>VÄSTRA GÖTALANDS LÄN</t>
        </is>
      </c>
      <c r="E9" t="inlineStr">
        <is>
          <t>LYSEKIL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39960-2018</t>
        </is>
      </c>
      <c r="B10" s="1" t="n">
        <v>43343</v>
      </c>
      <c r="C10" s="1" t="n">
        <v>45351</v>
      </c>
      <c r="D10" t="inlineStr">
        <is>
          <t>VÄSTRA GÖTALANDS LÄN</t>
        </is>
      </c>
      <c r="E10" t="inlineStr">
        <is>
          <t>LYSEKIL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51782-2018</t>
        </is>
      </c>
      <c r="B11" s="1" t="n">
        <v>43381</v>
      </c>
      <c r="C11" s="1" t="n">
        <v>45351</v>
      </c>
      <c r="D11" t="inlineStr">
        <is>
          <t>VÄSTRA GÖTALANDS LÄN</t>
        </is>
      </c>
      <c r="E11" t="inlineStr">
        <is>
          <t>LYSEKIL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58312-2018</t>
        </is>
      </c>
      <c r="B12" s="1" t="n">
        <v>43409</v>
      </c>
      <c r="C12" s="1" t="n">
        <v>45351</v>
      </c>
      <c r="D12" t="inlineStr">
        <is>
          <t>VÄSTRA GÖTALANDS LÄN</t>
        </is>
      </c>
      <c r="E12" t="inlineStr">
        <is>
          <t>LYSEKIL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64218-2018</t>
        </is>
      </c>
      <c r="B13" s="1" t="n">
        <v>43430</v>
      </c>
      <c r="C13" s="1" t="n">
        <v>45351</v>
      </c>
      <c r="D13" t="inlineStr">
        <is>
          <t>VÄSTRA GÖTALANDS LÄN</t>
        </is>
      </c>
      <c r="E13" t="inlineStr">
        <is>
          <t>LYSEKIL</t>
        </is>
      </c>
      <c r="G13" t="n">
        <v>3.2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64591-2018</t>
        </is>
      </c>
      <c r="B14" s="1" t="n">
        <v>43431</v>
      </c>
      <c r="C14" s="1" t="n">
        <v>45351</v>
      </c>
      <c r="D14" t="inlineStr">
        <is>
          <t>VÄSTRA GÖTALANDS LÄN</t>
        </is>
      </c>
      <c r="E14" t="inlineStr">
        <is>
          <t>LYSEKIL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70213-2018</t>
        </is>
      </c>
      <c r="B15" s="1" t="n">
        <v>43448</v>
      </c>
      <c r="C15" s="1" t="n">
        <v>45351</v>
      </c>
      <c r="D15" t="inlineStr">
        <is>
          <t>VÄSTRA GÖTALANDS LÄN</t>
        </is>
      </c>
      <c r="E15" t="inlineStr">
        <is>
          <t>LYSEKIL</t>
        </is>
      </c>
      <c r="G15" t="n">
        <v>5.8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72367-2018</t>
        </is>
      </c>
      <c r="B16" s="1" t="n">
        <v>43461</v>
      </c>
      <c r="C16" s="1" t="n">
        <v>45351</v>
      </c>
      <c r="D16" t="inlineStr">
        <is>
          <t>VÄSTRA GÖTALANDS LÄN</t>
        </is>
      </c>
      <c r="E16" t="inlineStr">
        <is>
          <t>LYSEKIL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10048-2019</t>
        </is>
      </c>
      <c r="B17" s="1" t="n">
        <v>43510</v>
      </c>
      <c r="C17" s="1" t="n">
        <v>45351</v>
      </c>
      <c r="D17" t="inlineStr">
        <is>
          <t>VÄSTRA GÖTALANDS LÄN</t>
        </is>
      </c>
      <c r="E17" t="inlineStr">
        <is>
          <t>LYSEKIL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10045-2019</t>
        </is>
      </c>
      <c r="B18" s="1" t="n">
        <v>43510</v>
      </c>
      <c r="C18" s="1" t="n">
        <v>45351</v>
      </c>
      <c r="D18" t="inlineStr">
        <is>
          <t>VÄSTRA GÖTALANDS LÄN</t>
        </is>
      </c>
      <c r="E18" t="inlineStr">
        <is>
          <t>LYSEKIL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16202-2019</t>
        </is>
      </c>
      <c r="B19" s="1" t="n">
        <v>43545</v>
      </c>
      <c r="C19" s="1" t="n">
        <v>45351</v>
      </c>
      <c r="D19" t="inlineStr">
        <is>
          <t>VÄSTRA GÖTALANDS LÄN</t>
        </is>
      </c>
      <c r="E19" t="inlineStr">
        <is>
          <t>LYSEKIL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17138-2019</t>
        </is>
      </c>
      <c r="B20" s="1" t="n">
        <v>43549</v>
      </c>
      <c r="C20" s="1" t="n">
        <v>45351</v>
      </c>
      <c r="D20" t="inlineStr">
        <is>
          <t>VÄSTRA GÖTALANDS LÄN</t>
        </is>
      </c>
      <c r="E20" t="inlineStr">
        <is>
          <t>LYSEKIL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17135-2019</t>
        </is>
      </c>
      <c r="B21" s="1" t="n">
        <v>43549</v>
      </c>
      <c r="C21" s="1" t="n">
        <v>45351</v>
      </c>
      <c r="D21" t="inlineStr">
        <is>
          <t>VÄSTRA GÖTALANDS LÄN</t>
        </is>
      </c>
      <c r="E21" t="inlineStr">
        <is>
          <t>LYSEKIL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18125-2019</t>
        </is>
      </c>
      <c r="B22" s="1" t="n">
        <v>43558</v>
      </c>
      <c r="C22" s="1" t="n">
        <v>45351</v>
      </c>
      <c r="D22" t="inlineStr">
        <is>
          <t>VÄSTRA GÖTALANDS LÄN</t>
        </is>
      </c>
      <c r="E22" t="inlineStr">
        <is>
          <t>LYSEKIL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36524-2019</t>
        </is>
      </c>
      <c r="B23" s="1" t="n">
        <v>43668</v>
      </c>
      <c r="C23" s="1" t="n">
        <v>45351</v>
      </c>
      <c r="D23" t="inlineStr">
        <is>
          <t>VÄSTRA GÖTALANDS LÄN</t>
        </is>
      </c>
      <c r="E23" t="inlineStr">
        <is>
          <t>LYSEKIL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39250-2019</t>
        </is>
      </c>
      <c r="B24" s="1" t="n">
        <v>43690</v>
      </c>
      <c r="C24" s="1" t="n">
        <v>45351</v>
      </c>
      <c r="D24" t="inlineStr">
        <is>
          <t>VÄSTRA GÖTALANDS LÄN</t>
        </is>
      </c>
      <c r="E24" t="inlineStr">
        <is>
          <t>LYSEKIL</t>
        </is>
      </c>
      <c r="G24" t="n">
        <v>9.199999999999999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40971-2019</t>
        </is>
      </c>
      <c r="B25" s="1" t="n">
        <v>43697</v>
      </c>
      <c r="C25" s="1" t="n">
        <v>45351</v>
      </c>
      <c r="D25" t="inlineStr">
        <is>
          <t>VÄSTRA GÖTALANDS LÄN</t>
        </is>
      </c>
      <c r="E25" t="inlineStr">
        <is>
          <t>LYSEKIL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40983-2019</t>
        </is>
      </c>
      <c r="B26" s="1" t="n">
        <v>43697</v>
      </c>
      <c r="C26" s="1" t="n">
        <v>45351</v>
      </c>
      <c r="D26" t="inlineStr">
        <is>
          <t>VÄSTRA GÖTALANDS LÄN</t>
        </is>
      </c>
      <c r="E26" t="inlineStr">
        <is>
          <t>LYSEKIL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46402-2019</t>
        </is>
      </c>
      <c r="B27" s="1" t="n">
        <v>43714</v>
      </c>
      <c r="C27" s="1" t="n">
        <v>45351</v>
      </c>
      <c r="D27" t="inlineStr">
        <is>
          <t>VÄSTRA GÖTALANDS LÄN</t>
        </is>
      </c>
      <c r="E27" t="inlineStr">
        <is>
          <t>LYSEKIL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46715-2019</t>
        </is>
      </c>
      <c r="B28" s="1" t="n">
        <v>43719</v>
      </c>
      <c r="C28" s="1" t="n">
        <v>45351</v>
      </c>
      <c r="D28" t="inlineStr">
        <is>
          <t>VÄSTRA GÖTALANDS LÄN</t>
        </is>
      </c>
      <c r="E28" t="inlineStr">
        <is>
          <t>LYSEKIL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47931-2019</t>
        </is>
      </c>
      <c r="B29" s="1" t="n">
        <v>43725</v>
      </c>
      <c r="C29" s="1" t="n">
        <v>45351</v>
      </c>
      <c r="D29" t="inlineStr">
        <is>
          <t>VÄSTRA GÖTALANDS LÄN</t>
        </is>
      </c>
      <c r="E29" t="inlineStr">
        <is>
          <t>LYSEKIL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55149-2019</t>
        </is>
      </c>
      <c r="B30" s="1" t="n">
        <v>43752</v>
      </c>
      <c r="C30" s="1" t="n">
        <v>45351</v>
      </c>
      <c r="D30" t="inlineStr">
        <is>
          <t>VÄSTRA GÖTALANDS LÄN</t>
        </is>
      </c>
      <c r="E30" t="inlineStr">
        <is>
          <t>LYSEKIL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60286-2019</t>
        </is>
      </c>
      <c r="B31" s="1" t="n">
        <v>43776</v>
      </c>
      <c r="C31" s="1" t="n">
        <v>45351</v>
      </c>
      <c r="D31" t="inlineStr">
        <is>
          <t>VÄSTRA GÖTALANDS LÄN</t>
        </is>
      </c>
      <c r="E31" t="inlineStr">
        <is>
          <t>LYSEKIL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11864-2020</t>
        </is>
      </c>
      <c r="B32" s="1" t="n">
        <v>43894</v>
      </c>
      <c r="C32" s="1" t="n">
        <v>45351</v>
      </c>
      <c r="D32" t="inlineStr">
        <is>
          <t>VÄSTRA GÖTALANDS LÄN</t>
        </is>
      </c>
      <c r="E32" t="inlineStr">
        <is>
          <t>LYSEKIL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15807-2020</t>
        </is>
      </c>
      <c r="B33" s="1" t="n">
        <v>43915</v>
      </c>
      <c r="C33" s="1" t="n">
        <v>45351</v>
      </c>
      <c r="D33" t="inlineStr">
        <is>
          <t>VÄSTRA GÖTALANDS LÄN</t>
        </is>
      </c>
      <c r="E33" t="inlineStr">
        <is>
          <t>LYSEKIL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19018-2020</t>
        </is>
      </c>
      <c r="B34" s="1" t="n">
        <v>43936</v>
      </c>
      <c r="C34" s="1" t="n">
        <v>45351</v>
      </c>
      <c r="D34" t="inlineStr">
        <is>
          <t>VÄSTRA GÖTALANDS LÄN</t>
        </is>
      </c>
      <c r="E34" t="inlineStr">
        <is>
          <t>LYSEKIL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39550-2020</t>
        </is>
      </c>
      <c r="B35" s="1" t="n">
        <v>44064</v>
      </c>
      <c r="C35" s="1" t="n">
        <v>45351</v>
      </c>
      <c r="D35" t="inlineStr">
        <is>
          <t>VÄSTRA GÖTALANDS LÄN</t>
        </is>
      </c>
      <c r="E35" t="inlineStr">
        <is>
          <t>LYSEKIL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39555-2020</t>
        </is>
      </c>
      <c r="B36" s="1" t="n">
        <v>44064</v>
      </c>
      <c r="C36" s="1" t="n">
        <v>45351</v>
      </c>
      <c r="D36" t="inlineStr">
        <is>
          <t>VÄSTRA GÖTALANDS LÄN</t>
        </is>
      </c>
      <c r="E36" t="inlineStr">
        <is>
          <t>LYSEKIL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45795-2020</t>
        </is>
      </c>
      <c r="B37" s="1" t="n">
        <v>44090</v>
      </c>
      <c r="C37" s="1" t="n">
        <v>45351</v>
      </c>
      <c r="D37" t="inlineStr">
        <is>
          <t>VÄSTRA GÖTALANDS LÄN</t>
        </is>
      </c>
      <c r="E37" t="inlineStr">
        <is>
          <t>LYSEKIL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50940-2020</t>
        </is>
      </c>
      <c r="B38" s="1" t="n">
        <v>44111</v>
      </c>
      <c r="C38" s="1" t="n">
        <v>45351</v>
      </c>
      <c r="D38" t="inlineStr">
        <is>
          <t>VÄSTRA GÖTALANDS LÄN</t>
        </is>
      </c>
      <c r="E38" t="inlineStr">
        <is>
          <t>LYSEKIL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52219-2020</t>
        </is>
      </c>
      <c r="B39" s="1" t="n">
        <v>44117</v>
      </c>
      <c r="C39" s="1" t="n">
        <v>45351</v>
      </c>
      <c r="D39" t="inlineStr">
        <is>
          <t>VÄSTRA GÖTALANDS LÄN</t>
        </is>
      </c>
      <c r="E39" t="inlineStr">
        <is>
          <t>LYSEKIL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58478-2020</t>
        </is>
      </c>
      <c r="B40" s="1" t="n">
        <v>44145</v>
      </c>
      <c r="C40" s="1" t="n">
        <v>45351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62263-2020</t>
        </is>
      </c>
      <c r="B41" s="1" t="n">
        <v>44159</v>
      </c>
      <c r="C41" s="1" t="n">
        <v>45351</v>
      </c>
      <c r="D41" t="inlineStr">
        <is>
          <t>VÄSTRA GÖTALANDS LÄN</t>
        </is>
      </c>
      <c r="E41" t="inlineStr">
        <is>
          <t>LYSEKIL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62409-2020</t>
        </is>
      </c>
      <c r="B42" s="1" t="n">
        <v>44160</v>
      </c>
      <c r="C42" s="1" t="n">
        <v>45351</v>
      </c>
      <c r="D42" t="inlineStr">
        <is>
          <t>VÄSTRA GÖTALANDS LÄN</t>
        </is>
      </c>
      <c r="E42" t="inlineStr">
        <is>
          <t>LYSEKIL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63807-2020</t>
        </is>
      </c>
      <c r="B43" s="1" t="n">
        <v>44164</v>
      </c>
      <c r="C43" s="1" t="n">
        <v>45351</v>
      </c>
      <c r="D43" t="inlineStr">
        <is>
          <t>VÄSTRA GÖTALANDS LÄN</t>
        </is>
      </c>
      <c r="E43" t="inlineStr">
        <is>
          <t>LYSEKIL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63823-2020</t>
        </is>
      </c>
      <c r="B44" s="1" t="n">
        <v>44164</v>
      </c>
      <c r="C44" s="1" t="n">
        <v>45351</v>
      </c>
      <c r="D44" t="inlineStr">
        <is>
          <t>VÄSTRA GÖTALANDS LÄN</t>
        </is>
      </c>
      <c r="E44" t="inlineStr">
        <is>
          <t>LYSEKIL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10578-2021</t>
        </is>
      </c>
      <c r="B45" s="1" t="n">
        <v>44258</v>
      </c>
      <c r="C45" s="1" t="n">
        <v>45351</v>
      </c>
      <c r="D45" t="inlineStr">
        <is>
          <t>VÄSTRA GÖTALANDS LÄN</t>
        </is>
      </c>
      <c r="E45" t="inlineStr">
        <is>
          <t>LYSEKIL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10574-2021</t>
        </is>
      </c>
      <c r="B46" s="1" t="n">
        <v>44258</v>
      </c>
      <c r="C46" s="1" t="n">
        <v>45351</v>
      </c>
      <c r="D46" t="inlineStr">
        <is>
          <t>VÄSTRA GÖTALANDS LÄN</t>
        </is>
      </c>
      <c r="E46" t="inlineStr">
        <is>
          <t>LYSEKIL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23365-2021</t>
        </is>
      </c>
      <c r="B47" s="1" t="n">
        <v>44333</v>
      </c>
      <c r="C47" s="1" t="n">
        <v>45351</v>
      </c>
      <c r="D47" t="inlineStr">
        <is>
          <t>VÄSTRA GÖTALANDS LÄN</t>
        </is>
      </c>
      <c r="E47" t="inlineStr">
        <is>
          <t>LYSEKIL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25657-2021</t>
        </is>
      </c>
      <c r="B48" s="1" t="n">
        <v>44343</v>
      </c>
      <c r="C48" s="1" t="n">
        <v>45351</v>
      </c>
      <c r="D48" t="inlineStr">
        <is>
          <t>VÄSTRA GÖTALANDS LÄN</t>
        </is>
      </c>
      <c r="E48" t="inlineStr">
        <is>
          <t>LYSEKIL</t>
        </is>
      </c>
      <c r="G48" t="n">
        <v>9.800000000000001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39065-2021</t>
        </is>
      </c>
      <c r="B49" s="1" t="n">
        <v>44411</v>
      </c>
      <c r="C49" s="1" t="n">
        <v>45351</v>
      </c>
      <c r="D49" t="inlineStr">
        <is>
          <t>VÄSTRA GÖTALANDS LÄN</t>
        </is>
      </c>
      <c r="E49" t="inlineStr">
        <is>
          <t>LYSEKIL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44429-2021</t>
        </is>
      </c>
      <c r="B50" s="1" t="n">
        <v>44435</v>
      </c>
      <c r="C50" s="1" t="n">
        <v>45351</v>
      </c>
      <c r="D50" t="inlineStr">
        <is>
          <t>VÄSTRA GÖTALANDS LÄN</t>
        </is>
      </c>
      <c r="E50" t="inlineStr">
        <is>
          <t>LYSEKIL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44466-2021</t>
        </is>
      </c>
      <c r="B51" s="1" t="n">
        <v>44435</v>
      </c>
      <c r="C51" s="1" t="n">
        <v>45351</v>
      </c>
      <c r="D51" t="inlineStr">
        <is>
          <t>VÄSTRA GÖTALANDS LÄN</t>
        </is>
      </c>
      <c r="E51" t="inlineStr">
        <is>
          <t>LYSEKIL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54313-2021</t>
        </is>
      </c>
      <c r="B52" s="1" t="n">
        <v>44472</v>
      </c>
      <c r="C52" s="1" t="n">
        <v>45351</v>
      </c>
      <c r="D52" t="inlineStr">
        <is>
          <t>VÄSTRA GÖTALANDS LÄN</t>
        </is>
      </c>
      <c r="E52" t="inlineStr">
        <is>
          <t>LYSEKIL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54489-2021</t>
        </is>
      </c>
      <c r="B53" s="1" t="n">
        <v>44473</v>
      </c>
      <c r="C53" s="1" t="n">
        <v>45351</v>
      </c>
      <c r="D53" t="inlineStr">
        <is>
          <t>VÄSTRA GÖTALANDS LÄN</t>
        </is>
      </c>
      <c r="E53" t="inlineStr">
        <is>
          <t>LYSEKIL</t>
        </is>
      </c>
      <c r="G53" t="n">
        <v>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55213-2021</t>
        </is>
      </c>
      <c r="B54" s="1" t="n">
        <v>44475</v>
      </c>
      <c r="C54" s="1" t="n">
        <v>45351</v>
      </c>
      <c r="D54" t="inlineStr">
        <is>
          <t>VÄSTRA GÖTALANDS LÄN</t>
        </is>
      </c>
      <c r="E54" t="inlineStr">
        <is>
          <t>LYSEKIL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60972-2021</t>
        </is>
      </c>
      <c r="B55" s="1" t="n">
        <v>44497</v>
      </c>
      <c r="C55" s="1" t="n">
        <v>45351</v>
      </c>
      <c r="D55" t="inlineStr">
        <is>
          <t>VÄSTRA GÖTALANDS LÄN</t>
        </is>
      </c>
      <c r="E55" t="inlineStr">
        <is>
          <t>LYSEKIL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60969-2021</t>
        </is>
      </c>
      <c r="B56" s="1" t="n">
        <v>44497</v>
      </c>
      <c r="C56" s="1" t="n">
        <v>45351</v>
      </c>
      <c r="D56" t="inlineStr">
        <is>
          <t>VÄSTRA GÖTALANDS LÄN</t>
        </is>
      </c>
      <c r="E56" t="inlineStr">
        <is>
          <t>LYSEKIL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61212-2021</t>
        </is>
      </c>
      <c r="B57" s="1" t="n">
        <v>44498</v>
      </c>
      <c r="C57" s="1" t="n">
        <v>45351</v>
      </c>
      <c r="D57" t="inlineStr">
        <is>
          <t>VÄSTRA GÖTALANDS LÄN</t>
        </is>
      </c>
      <c r="E57" t="inlineStr">
        <is>
          <t>LYSEKIL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61933-2021</t>
        </is>
      </c>
      <c r="B58" s="1" t="n">
        <v>44502</v>
      </c>
      <c r="C58" s="1" t="n">
        <v>45351</v>
      </c>
      <c r="D58" t="inlineStr">
        <is>
          <t>VÄSTRA GÖTALANDS LÄN</t>
        </is>
      </c>
      <c r="E58" t="inlineStr">
        <is>
          <t>LYSEKIL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68739-2021</t>
        </is>
      </c>
      <c r="B59" s="1" t="n">
        <v>44529</v>
      </c>
      <c r="C59" s="1" t="n">
        <v>45351</v>
      </c>
      <c r="D59" t="inlineStr">
        <is>
          <t>VÄSTRA GÖTALANDS LÄN</t>
        </is>
      </c>
      <c r="E59" t="inlineStr">
        <is>
          <t>LYSEKIL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5311-2022</t>
        </is>
      </c>
      <c r="B60" s="1" t="n">
        <v>44594</v>
      </c>
      <c r="C60" s="1" t="n">
        <v>45351</v>
      </c>
      <c r="D60" t="inlineStr">
        <is>
          <t>VÄSTRA GÖTALANDS LÄN</t>
        </is>
      </c>
      <c r="E60" t="inlineStr">
        <is>
          <t>LYSEKIL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22482-2022</t>
        </is>
      </c>
      <c r="B61" s="1" t="n">
        <v>44713</v>
      </c>
      <c r="C61" s="1" t="n">
        <v>45351</v>
      </c>
      <c r="D61" t="inlineStr">
        <is>
          <t>VÄSTRA GÖTALANDS LÄN</t>
        </is>
      </c>
      <c r="E61" t="inlineStr">
        <is>
          <t>LYSEKIL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28159-2022</t>
        </is>
      </c>
      <c r="B62" s="1" t="n">
        <v>44746</v>
      </c>
      <c r="C62" s="1" t="n">
        <v>45351</v>
      </c>
      <c r="D62" t="inlineStr">
        <is>
          <t>VÄSTRA GÖTALANDS LÄN</t>
        </is>
      </c>
      <c r="E62" t="inlineStr">
        <is>
          <t>LYSEKIL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47304-2022</t>
        </is>
      </c>
      <c r="B63" s="1" t="n">
        <v>44853</v>
      </c>
      <c r="C63" s="1" t="n">
        <v>45351</v>
      </c>
      <c r="D63" t="inlineStr">
        <is>
          <t>VÄSTRA GÖTALANDS LÄN</t>
        </is>
      </c>
      <c r="E63" t="inlineStr">
        <is>
          <t>LYSEKIL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51128-2022</t>
        </is>
      </c>
      <c r="B64" s="1" t="n">
        <v>44868</v>
      </c>
      <c r="C64" s="1" t="n">
        <v>45351</v>
      </c>
      <c r="D64" t="inlineStr">
        <is>
          <t>VÄSTRA GÖTALANDS LÄN</t>
        </is>
      </c>
      <c r="E64" t="inlineStr">
        <is>
          <t>LYSEKIL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54740-2022</t>
        </is>
      </c>
      <c r="B65" s="1" t="n">
        <v>44883</v>
      </c>
      <c r="C65" s="1" t="n">
        <v>45351</v>
      </c>
      <c r="D65" t="inlineStr">
        <is>
          <t>VÄSTRA GÖTALANDS LÄN</t>
        </is>
      </c>
      <c r="E65" t="inlineStr">
        <is>
          <t>LYSEKIL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59223-2022</t>
        </is>
      </c>
      <c r="B66" s="1" t="n">
        <v>44899</v>
      </c>
      <c r="C66" s="1" t="n">
        <v>45351</v>
      </c>
      <c r="D66" t="inlineStr">
        <is>
          <t>VÄSTRA GÖTALANDS LÄN</t>
        </is>
      </c>
      <c r="E66" t="inlineStr">
        <is>
          <t>LYSEKIL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58793-2022</t>
        </is>
      </c>
      <c r="B67" s="1" t="n">
        <v>44903</v>
      </c>
      <c r="C67" s="1" t="n">
        <v>45351</v>
      </c>
      <c r="D67" t="inlineStr">
        <is>
          <t>VÄSTRA GÖTALANDS LÄN</t>
        </is>
      </c>
      <c r="E67" t="inlineStr">
        <is>
          <t>LYSEKIL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58789-2022</t>
        </is>
      </c>
      <c r="B68" s="1" t="n">
        <v>44903</v>
      </c>
      <c r="C68" s="1" t="n">
        <v>45351</v>
      </c>
      <c r="D68" t="inlineStr">
        <is>
          <t>VÄSTRA GÖTALANDS LÄN</t>
        </is>
      </c>
      <c r="E68" t="inlineStr">
        <is>
          <t>LYSEKIL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58794-2022</t>
        </is>
      </c>
      <c r="B69" s="1" t="n">
        <v>44903</v>
      </c>
      <c r="C69" s="1" t="n">
        <v>45351</v>
      </c>
      <c r="D69" t="inlineStr">
        <is>
          <t>VÄSTRA GÖTALANDS LÄN</t>
        </is>
      </c>
      <c r="E69" t="inlineStr">
        <is>
          <t>LYSEKIL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61102-2022</t>
        </is>
      </c>
      <c r="B70" s="1" t="n">
        <v>44915</v>
      </c>
      <c r="C70" s="1" t="n">
        <v>45351</v>
      </c>
      <c r="D70" t="inlineStr">
        <is>
          <t>VÄSTRA GÖTALANDS LÄN</t>
        </is>
      </c>
      <c r="E70" t="inlineStr">
        <is>
          <t>LYSEKIL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430-2023</t>
        </is>
      </c>
      <c r="B71" s="1" t="n">
        <v>44929</v>
      </c>
      <c r="C71" s="1" t="n">
        <v>45351</v>
      </c>
      <c r="D71" t="inlineStr">
        <is>
          <t>VÄSTRA GÖTALANDS LÄN</t>
        </is>
      </c>
      <c r="E71" t="inlineStr">
        <is>
          <t>LYSEKIL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440-2023</t>
        </is>
      </c>
      <c r="B72" s="1" t="n">
        <v>44929</v>
      </c>
      <c r="C72" s="1" t="n">
        <v>45351</v>
      </c>
      <c r="D72" t="inlineStr">
        <is>
          <t>VÄSTRA GÖTALANDS LÄN</t>
        </is>
      </c>
      <c r="E72" t="inlineStr">
        <is>
          <t>LYSEKIL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8464-2023</t>
        </is>
      </c>
      <c r="B73" s="1" t="n">
        <v>44977</v>
      </c>
      <c r="C73" s="1" t="n">
        <v>45351</v>
      </c>
      <c r="D73" t="inlineStr">
        <is>
          <t>VÄSTRA GÖTALANDS LÄN</t>
        </is>
      </c>
      <c r="E73" t="inlineStr">
        <is>
          <t>LYSEKIL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8469-2023</t>
        </is>
      </c>
      <c r="B74" s="1" t="n">
        <v>44977</v>
      </c>
      <c r="C74" s="1" t="n">
        <v>45351</v>
      </c>
      <c r="D74" t="inlineStr">
        <is>
          <t>VÄSTRA GÖTALANDS LÄN</t>
        </is>
      </c>
      <c r="E74" t="inlineStr">
        <is>
          <t>LYSEKIL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8474-2023</t>
        </is>
      </c>
      <c r="B75" s="1" t="n">
        <v>44977</v>
      </c>
      <c r="C75" s="1" t="n">
        <v>45351</v>
      </c>
      <c r="D75" t="inlineStr">
        <is>
          <t>VÄSTRA GÖTALANDS LÄN</t>
        </is>
      </c>
      <c r="E75" t="inlineStr">
        <is>
          <t>LYSEKIL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10114-2023</t>
        </is>
      </c>
      <c r="B76" s="1" t="n">
        <v>44986</v>
      </c>
      <c r="C76" s="1" t="n">
        <v>45351</v>
      </c>
      <c r="D76" t="inlineStr">
        <is>
          <t>VÄSTRA GÖTALANDS LÄN</t>
        </is>
      </c>
      <c r="E76" t="inlineStr">
        <is>
          <t>LYSEKIL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12234-2023</t>
        </is>
      </c>
      <c r="B77" s="1" t="n">
        <v>44998</v>
      </c>
      <c r="C77" s="1" t="n">
        <v>45351</v>
      </c>
      <c r="D77" t="inlineStr">
        <is>
          <t>VÄSTRA GÖTALANDS LÄN</t>
        </is>
      </c>
      <c r="E77" t="inlineStr">
        <is>
          <t>LYSEKIL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13960-2023</t>
        </is>
      </c>
      <c r="B78" s="1" t="n">
        <v>45008</v>
      </c>
      <c r="C78" s="1" t="n">
        <v>45351</v>
      </c>
      <c r="D78" t="inlineStr">
        <is>
          <t>VÄSTRA GÖTALANDS LÄN</t>
        </is>
      </c>
      <c r="E78" t="inlineStr">
        <is>
          <t>LYSEKIL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19794-2023</t>
        </is>
      </c>
      <c r="B79" s="1" t="n">
        <v>45051</v>
      </c>
      <c r="C79" s="1" t="n">
        <v>45351</v>
      </c>
      <c r="D79" t="inlineStr">
        <is>
          <t>VÄSTRA GÖTALANDS LÄN</t>
        </is>
      </c>
      <c r="E79" t="inlineStr">
        <is>
          <t>LYSEKIL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21592-2023</t>
        </is>
      </c>
      <c r="B80" s="1" t="n">
        <v>45063</v>
      </c>
      <c r="C80" s="1" t="n">
        <v>45351</v>
      </c>
      <c r="D80" t="inlineStr">
        <is>
          <t>VÄSTRA GÖTALANDS LÄN</t>
        </is>
      </c>
      <c r="E80" t="inlineStr">
        <is>
          <t>LYSEKIL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25009-2023</t>
        </is>
      </c>
      <c r="B81" s="1" t="n">
        <v>45085</v>
      </c>
      <c r="C81" s="1" t="n">
        <v>45351</v>
      </c>
      <c r="D81" t="inlineStr">
        <is>
          <t>VÄSTRA GÖTALANDS LÄN</t>
        </is>
      </c>
      <c r="E81" t="inlineStr">
        <is>
          <t>LYSEKIL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37077-2023</t>
        </is>
      </c>
      <c r="B82" s="1" t="n">
        <v>45155</v>
      </c>
      <c r="C82" s="1" t="n">
        <v>45351</v>
      </c>
      <c r="D82" t="inlineStr">
        <is>
          <t>VÄSTRA GÖTALANDS LÄN</t>
        </is>
      </c>
      <c r="E82" t="inlineStr">
        <is>
          <t>LYSEKIL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37123-2023</t>
        </is>
      </c>
      <c r="B83" s="1" t="n">
        <v>45155</v>
      </c>
      <c r="C83" s="1" t="n">
        <v>45351</v>
      </c>
      <c r="D83" t="inlineStr">
        <is>
          <t>VÄSTRA GÖTALANDS LÄN</t>
        </is>
      </c>
      <c r="E83" t="inlineStr">
        <is>
          <t>LYSEKIL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37149-2023</t>
        </is>
      </c>
      <c r="B84" s="1" t="n">
        <v>45155</v>
      </c>
      <c r="C84" s="1" t="n">
        <v>45351</v>
      </c>
      <c r="D84" t="inlineStr">
        <is>
          <t>VÄSTRA GÖTALANDS LÄN</t>
        </is>
      </c>
      <c r="E84" t="inlineStr">
        <is>
          <t>LYSEKIL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39084-2023</t>
        </is>
      </c>
      <c r="B85" s="1" t="n">
        <v>45164</v>
      </c>
      <c r="C85" s="1" t="n">
        <v>45351</v>
      </c>
      <c r="D85" t="inlineStr">
        <is>
          <t>VÄSTRA GÖTALANDS LÄN</t>
        </is>
      </c>
      <c r="E85" t="inlineStr">
        <is>
          <t>LYSEKIL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39085-2023</t>
        </is>
      </c>
      <c r="B86" s="1" t="n">
        <v>45164</v>
      </c>
      <c r="C86" s="1" t="n">
        <v>45351</v>
      </c>
      <c r="D86" t="inlineStr">
        <is>
          <t>VÄSTRA GÖTALANDS LÄN</t>
        </is>
      </c>
      <c r="E86" t="inlineStr">
        <is>
          <t>LYSEKIL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41581-2023</t>
        </is>
      </c>
      <c r="B87" s="1" t="n">
        <v>45173</v>
      </c>
      <c r="C87" s="1" t="n">
        <v>45351</v>
      </c>
      <c r="D87" t="inlineStr">
        <is>
          <t>VÄSTRA GÖTALANDS LÄN</t>
        </is>
      </c>
      <c r="E87" t="inlineStr">
        <is>
          <t>LYSEKIL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43028-2023</t>
        </is>
      </c>
      <c r="B88" s="1" t="n">
        <v>45182</v>
      </c>
      <c r="C88" s="1" t="n">
        <v>45351</v>
      </c>
      <c r="D88" t="inlineStr">
        <is>
          <t>VÄSTRA GÖTALANDS LÄN</t>
        </is>
      </c>
      <c r="E88" t="inlineStr">
        <is>
          <t>LYSEKIL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44146-2023</t>
        </is>
      </c>
      <c r="B89" s="1" t="n">
        <v>45188</v>
      </c>
      <c r="C89" s="1" t="n">
        <v>45351</v>
      </c>
      <c r="D89" t="inlineStr">
        <is>
          <t>VÄSTRA GÖTALANDS LÄN</t>
        </is>
      </c>
      <c r="E89" t="inlineStr">
        <is>
          <t>LYSEKIL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48103-2023</t>
        </is>
      </c>
      <c r="B90" s="1" t="n">
        <v>45205</v>
      </c>
      <c r="C90" s="1" t="n">
        <v>45351</v>
      </c>
      <c r="D90" t="inlineStr">
        <is>
          <t>VÄSTRA GÖTALANDS LÄN</t>
        </is>
      </c>
      <c r="E90" t="inlineStr">
        <is>
          <t>LYSEKIL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49368-2023</t>
        </is>
      </c>
      <c r="B91" s="1" t="n">
        <v>45211</v>
      </c>
      <c r="C91" s="1" t="n">
        <v>45351</v>
      </c>
      <c r="D91" t="inlineStr">
        <is>
          <t>VÄSTRA GÖTALANDS LÄN</t>
        </is>
      </c>
      <c r="E91" t="inlineStr">
        <is>
          <t>LYSEKIL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50343-2023</t>
        </is>
      </c>
      <c r="B92" s="1" t="n">
        <v>45216</v>
      </c>
      <c r="C92" s="1" t="n">
        <v>45351</v>
      </c>
      <c r="D92" t="inlineStr">
        <is>
          <t>VÄSTRA GÖTALANDS LÄN</t>
        </is>
      </c>
      <c r="E92" t="inlineStr">
        <is>
          <t>LYSEKIL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53422-2023</t>
        </is>
      </c>
      <c r="B93" s="1" t="n">
        <v>45229</v>
      </c>
      <c r="C93" s="1" t="n">
        <v>45351</v>
      </c>
      <c r="D93" t="inlineStr">
        <is>
          <t>VÄSTRA GÖTALANDS LÄN</t>
        </is>
      </c>
      <c r="E93" t="inlineStr">
        <is>
          <t>LYSEKIL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53423-2023</t>
        </is>
      </c>
      <c r="B94" s="1" t="n">
        <v>45229</v>
      </c>
      <c r="C94" s="1" t="n">
        <v>45351</v>
      </c>
      <c r="D94" t="inlineStr">
        <is>
          <t>VÄSTRA GÖTALANDS LÄN</t>
        </is>
      </c>
      <c r="E94" t="inlineStr">
        <is>
          <t>LYSEKIL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62468-2023</t>
        </is>
      </c>
      <c r="B95" s="1" t="n">
        <v>45268</v>
      </c>
      <c r="C95" s="1" t="n">
        <v>45351</v>
      </c>
      <c r="D95" t="inlineStr">
        <is>
          <t>VÄSTRA GÖTALANDS LÄN</t>
        </is>
      </c>
      <c r="E95" t="inlineStr">
        <is>
          <t>LYSEKIL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63886-2023</t>
        </is>
      </c>
      <c r="B96" s="1" t="n">
        <v>45278</v>
      </c>
      <c r="C96" s="1" t="n">
        <v>45351</v>
      </c>
      <c r="D96" t="inlineStr">
        <is>
          <t>VÄSTRA GÖTALANDS LÄN</t>
        </is>
      </c>
      <c r="E96" t="inlineStr">
        <is>
          <t>LYSEKIL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52-2024</t>
        </is>
      </c>
      <c r="B97" s="1" t="n">
        <v>45293</v>
      </c>
      <c r="C97" s="1" t="n">
        <v>45351</v>
      </c>
      <c r="D97" t="inlineStr">
        <is>
          <t>VÄSTRA GÖTALANDS LÄN</t>
        </is>
      </c>
      <c r="E97" t="inlineStr">
        <is>
          <t>LYSEKIL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>
      <c r="A98" t="inlineStr">
        <is>
          <t>A 3408-2024</t>
        </is>
      </c>
      <c r="B98" s="1" t="n">
        <v>45319</v>
      </c>
      <c r="C98" s="1" t="n">
        <v>45351</v>
      </c>
      <c r="D98" t="inlineStr">
        <is>
          <t>VÄSTRA GÖTALANDS LÄN</t>
        </is>
      </c>
      <c r="E98" t="inlineStr">
        <is>
          <t>LYSEKIL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2024-02-29T12:52:34Z</dcterms:created>
  <dcterms:modified xmlns:dcterms="http://purl.org/dc/terms/" xmlns:xsi="http://www.w3.org/2001/XMLSchema-instance" xsi:type="dcterms:W3CDTF">2024-02-29T12:52:34Z</dcterms:modified>
</cp:coreProperties>
</file>