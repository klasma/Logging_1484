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</v>
      </c>
      <c r="C2" s="1" t="n">
        <v>45877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HYPERLINK("https://klasma.github.io/Logging_141484/artfynd/A 35783-2025 artfynd.xlsx", "A 35783-2025")</f>
        <v/>
      </c>
      <c r="T2">
        <f>HYPERLINK("https://klasma.github.io/Logging_141484/kartor/A 35783-2025 karta.png", "A 35783-2025")</f>
        <v/>
      </c>
      <c r="V2">
        <f>HYPERLINK("https://klasma.github.io/Logging_141484/klagomål/A 35783-2025 FSC-klagomål.docx", "A 35783-2025")</f>
        <v/>
      </c>
      <c r="W2">
        <f>HYPERLINK("https://klasma.github.io/Logging_141484/klagomålsmail/A 35783-2025 FSC-klagomål mail.docx", "A 35783-2025")</f>
        <v/>
      </c>
      <c r="X2">
        <f>HYPERLINK("https://klasma.github.io/Logging_141484/tillsyn/A 35783-2025 tillsynsbegäran.docx", "A 35783-2025")</f>
        <v/>
      </c>
      <c r="Y2">
        <f>HYPERLINK("https://klasma.github.io/Logging_141484/tillsynsmail/A 35783-2025 tillsynsbegäran mail.docx", "A 35783-2025")</f>
        <v/>
      </c>
    </row>
    <row r="3" ht="15" customHeight="1">
      <c r="A3" t="inlineStr">
        <is>
          <t>A 47931-2019</t>
        </is>
      </c>
      <c r="B3" s="1" t="n">
        <v>43725</v>
      </c>
      <c r="C3" s="1" t="n">
        <v>45877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47931-2019 artfynd.xlsx", "A 47931-2019")</f>
        <v/>
      </c>
      <c r="T3">
        <f>HYPERLINK("https://klasma.github.io/Logging_1484/kartor/A 47931-2019 karta.png", "A 47931-2019")</f>
        <v/>
      </c>
      <c r="V3">
        <f>HYPERLINK("https://klasma.github.io/Logging_1484/klagomål/A 47931-2019 FSC-klagomål.docx", "A 47931-2019")</f>
        <v/>
      </c>
      <c r="W3">
        <f>HYPERLINK("https://klasma.github.io/Logging_1484/klagomålsmail/A 47931-2019 FSC-klagomål mail.docx", "A 47931-2019")</f>
        <v/>
      </c>
      <c r="X3">
        <f>HYPERLINK("https://klasma.github.io/Logging_1484/tillsyn/A 47931-2019 tillsynsbegäran.docx", "A 47931-2019")</f>
        <v/>
      </c>
      <c r="Y3">
        <f>HYPERLINK("https://klasma.github.io/Logging_1484/tillsynsmail/A 47931-2019 tillsynsbegäran mail.docx", "A 47931-2019")</f>
        <v/>
      </c>
    </row>
    <row r="4" ht="15" customHeight="1">
      <c r="A4" t="inlineStr">
        <is>
          <t>A 9865-2021</t>
        </is>
      </c>
      <c r="B4" s="1" t="n">
        <v>44253</v>
      </c>
      <c r="C4" s="1" t="n">
        <v>45877</v>
      </c>
      <c r="D4" t="inlineStr">
        <is>
          <t>VÄSTRA GÖTALANDS LÄN</t>
        </is>
      </c>
      <c r="E4" t="inlineStr">
        <is>
          <t>LYSEKIL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HYPERLINK("https://klasma.github.io/Logging_1484/artfynd/A 9865-2021 artfynd.xlsx", "A 9865-2021")</f>
        <v/>
      </c>
      <c r="T4">
        <f>HYPERLINK("https://klasma.github.io/Logging_1484/kartor/A 9865-2021 karta.png", "A 9865-2021")</f>
        <v/>
      </c>
      <c r="V4">
        <f>HYPERLINK("https://klasma.github.io/Logging_1484/klagomål/A 9865-2021 FSC-klagomål.docx", "A 9865-2021")</f>
        <v/>
      </c>
      <c r="W4">
        <f>HYPERLINK("https://klasma.github.io/Logging_1484/klagomålsmail/A 9865-2021 FSC-klagomål mail.docx", "A 9865-2021")</f>
        <v/>
      </c>
      <c r="X4">
        <f>HYPERLINK("https://klasma.github.io/Logging_1484/tillsyn/A 9865-2021 tillsynsbegäran.docx", "A 9865-2021")</f>
        <v/>
      </c>
      <c r="Y4">
        <f>HYPERLINK("https://klasma.github.io/Logging_1484/tillsynsmail/A 9865-2021 tillsynsbegäran mail.docx", "A 9865-2021")</f>
        <v/>
      </c>
    </row>
    <row r="5" ht="15" customHeight="1">
      <c r="A5" t="inlineStr">
        <is>
          <t>A 25789-2021</t>
        </is>
      </c>
      <c r="B5" s="1" t="n">
        <v>44343</v>
      </c>
      <c r="C5" s="1" t="n">
        <v>45877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44429-2021</t>
        </is>
      </c>
      <c r="B6" s="1" t="n">
        <v>44435</v>
      </c>
      <c r="C6" s="1" t="n">
        <v>45877</v>
      </c>
      <c r="D6" t="inlineStr">
        <is>
          <t>VÄSTRA GÖTALANDS LÄN</t>
        </is>
      </c>
      <c r="E6" t="inlineStr">
        <is>
          <t>LYSEKIL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Nattskärra</t>
        </is>
      </c>
      <c r="S6">
        <f>HYPERLINK("https://klasma.github.io/Logging_1484/artfynd/A 44429-2021 artfynd.xlsx", "A 44429-2021")</f>
        <v/>
      </c>
      <c r="T6">
        <f>HYPERLINK("https://klasma.github.io/Logging_1484/kartor/A 44429-2021 karta.png", "A 44429-2021")</f>
        <v/>
      </c>
      <c r="V6">
        <f>HYPERLINK("https://klasma.github.io/Logging_1484/klagomål/A 44429-2021 FSC-klagomål.docx", "A 44429-2021")</f>
        <v/>
      </c>
      <c r="W6">
        <f>HYPERLINK("https://klasma.github.io/Logging_1484/klagomålsmail/A 44429-2021 FSC-klagomål mail.docx", "A 44429-2021")</f>
        <v/>
      </c>
      <c r="X6">
        <f>HYPERLINK("https://klasma.github.io/Logging_1484/tillsyn/A 44429-2021 tillsynsbegäran.docx", "A 44429-2021")</f>
        <v/>
      </c>
      <c r="Y6">
        <f>HYPERLINK("https://klasma.github.io/Logging_1484/tillsynsmail/A 44429-2021 tillsynsbegäran mail.docx", "A 44429-2021")</f>
        <v/>
      </c>
      <c r="Z6">
        <f>HYPERLINK("https://klasma.github.io/Logging_1484/fåglar/A 44429-2021 prioriterade fågelarter.docx", "A 44429-2021")</f>
        <v/>
      </c>
    </row>
    <row r="7" ht="15" customHeight="1">
      <c r="A7" t="inlineStr">
        <is>
          <t>A 16879-2022</t>
        </is>
      </c>
      <c r="B7" s="1" t="n">
        <v>44675</v>
      </c>
      <c r="C7" s="1" t="n">
        <v>45877</v>
      </c>
      <c r="D7" t="inlineStr">
        <is>
          <t>VÄSTRA GÖTALANDS LÄN</t>
        </is>
      </c>
      <c r="E7" t="inlineStr">
        <is>
          <t>LYSEKIL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HYPERLINK("https://klasma.github.io/Logging_1484/artfynd/A 16879-2022 artfynd.xlsx", "A 16879-2022")</f>
        <v/>
      </c>
      <c r="T7">
        <f>HYPERLINK("https://klasma.github.io/Logging_1484/kartor/A 16879-2022 karta.png", "A 16879-2022")</f>
        <v/>
      </c>
      <c r="V7">
        <f>HYPERLINK("https://klasma.github.io/Logging_1484/klagomål/A 16879-2022 FSC-klagomål.docx", "A 16879-2022")</f>
        <v/>
      </c>
      <c r="W7">
        <f>HYPERLINK("https://klasma.github.io/Logging_1484/klagomålsmail/A 16879-2022 FSC-klagomål mail.docx", "A 16879-2022")</f>
        <v/>
      </c>
      <c r="X7">
        <f>HYPERLINK("https://klasma.github.io/Logging_1484/tillsyn/A 16879-2022 tillsynsbegäran.docx", "A 16879-2022")</f>
        <v/>
      </c>
      <c r="Y7">
        <f>HYPERLINK("https://klasma.github.io/Logging_1484/tillsynsmail/A 16879-2022 tillsynsbegäran mail.docx", "A 16879-2022")</f>
        <v/>
      </c>
    </row>
    <row r="8" ht="15" customHeight="1">
      <c r="A8" t="inlineStr">
        <is>
          <t>A 430-2023</t>
        </is>
      </c>
      <c r="B8" s="1" t="n">
        <v>44929</v>
      </c>
      <c r="C8" s="1" t="n">
        <v>45877</v>
      </c>
      <c r="D8" t="inlineStr">
        <is>
          <t>VÄSTRA GÖTALANDS LÄN</t>
        </is>
      </c>
      <c r="E8" t="inlineStr">
        <is>
          <t>LYSEKIL</t>
        </is>
      </c>
      <c r="G8" t="n">
        <v>3.2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430-2023 artfynd.xlsx", "A 430-2023")</f>
        <v/>
      </c>
      <c r="T8">
        <f>HYPERLINK("https://klasma.github.io/Logging_1484/kartor/A 430-2023 karta.png", "A 430-2023")</f>
        <v/>
      </c>
      <c r="V8">
        <f>HYPERLINK("https://klasma.github.io/Logging_1484/klagomål/A 430-2023 FSC-klagomål.docx", "A 430-2023")</f>
        <v/>
      </c>
      <c r="W8">
        <f>HYPERLINK("https://klasma.github.io/Logging_1484/klagomålsmail/A 430-2023 FSC-klagomål mail.docx", "A 430-2023")</f>
        <v/>
      </c>
      <c r="X8">
        <f>HYPERLINK("https://klasma.github.io/Logging_1484/tillsyn/A 430-2023 tillsynsbegäran.docx", "A 430-2023")</f>
        <v/>
      </c>
      <c r="Y8">
        <f>HYPERLINK("https://klasma.github.io/Logging_1484/tillsynsmail/A 430-2023 tillsynsbegäran mail.docx", "A 430-2023")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45877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53422-2023</t>
        </is>
      </c>
      <c r="B10" s="1" t="n">
        <v>45229</v>
      </c>
      <c r="C10" s="1" t="n">
        <v>45877</v>
      </c>
      <c r="D10" t="inlineStr">
        <is>
          <t>VÄSTRA GÖTALANDS LÄN</t>
        </is>
      </c>
      <c r="E10" t="inlineStr">
        <is>
          <t>LYSEKIL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HYPERLINK("https://klasma.github.io/Logging_1484/artfynd/A 53422-2023 artfynd.xlsx", "A 53422-2023")</f>
        <v/>
      </c>
      <c r="T10">
        <f>HYPERLINK("https://klasma.github.io/Logging_1484/kartor/A 53422-2023 karta.png", "A 53422-2023")</f>
        <v/>
      </c>
      <c r="V10">
        <f>HYPERLINK("https://klasma.github.io/Logging_1484/klagomål/A 53422-2023 FSC-klagomål.docx", "A 53422-2023")</f>
        <v/>
      </c>
      <c r="W10">
        <f>HYPERLINK("https://klasma.github.io/Logging_1484/klagomålsmail/A 53422-2023 FSC-klagomål mail.docx", "A 53422-2023")</f>
        <v/>
      </c>
      <c r="X10">
        <f>HYPERLINK("https://klasma.github.io/Logging_1484/tillsyn/A 53422-2023 tillsynsbegäran.docx", "A 53422-2023")</f>
        <v/>
      </c>
      <c r="Y10">
        <f>HYPERLINK("https://klasma.github.io/Logging_1484/tillsynsmail/A 53422-2023 tillsynsbegäran mail.docx", "A 53422-2023")</f>
        <v/>
      </c>
    </row>
    <row r="11" ht="15" customHeight="1">
      <c r="A11" t="inlineStr">
        <is>
          <t>A 60261-2024</t>
        </is>
      </c>
      <c r="B11" s="1" t="n">
        <v>45642</v>
      </c>
      <c r="C11" s="1" t="n">
        <v>45877</v>
      </c>
      <c r="D11" t="inlineStr">
        <is>
          <t>VÄSTRA GÖTALANDS LÄN</t>
        </is>
      </c>
      <c r="E11" t="inlineStr">
        <is>
          <t>LYSEKIL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HYPERLINK("https://klasma.github.io/Logging_1484/artfynd/A 60261-2024 artfynd.xlsx", "A 60261-2024")</f>
        <v/>
      </c>
      <c r="T11">
        <f>HYPERLINK("https://klasma.github.io/Logging_1484/kartor/A 60261-2024 karta.png", "A 60261-2024")</f>
        <v/>
      </c>
      <c r="V11">
        <f>HYPERLINK("https://klasma.github.io/Logging_1484/klagomål/A 60261-2024 FSC-klagomål.docx", "A 60261-2024")</f>
        <v/>
      </c>
      <c r="W11">
        <f>HYPERLINK("https://klasma.github.io/Logging_1484/klagomålsmail/A 60261-2024 FSC-klagomål mail.docx", "A 60261-2024")</f>
        <v/>
      </c>
      <c r="X11">
        <f>HYPERLINK("https://klasma.github.io/Logging_1484/tillsyn/A 60261-2024 tillsynsbegäran.docx", "A 60261-2024")</f>
        <v/>
      </c>
      <c r="Y11">
        <f>HYPERLINK("https://klasma.github.io/Logging_1484/tillsynsmail/A 60261-2024 tillsynsbegäran mail.docx", "A 60261-2024")</f>
        <v/>
      </c>
    </row>
    <row r="12" ht="15" customHeight="1">
      <c r="A12" t="inlineStr">
        <is>
          <t>A 18125-2019</t>
        </is>
      </c>
      <c r="B12" s="1" t="n">
        <v>43558</v>
      </c>
      <c r="C12" s="1" t="n">
        <v>45877</v>
      </c>
      <c r="D12" t="inlineStr">
        <is>
          <t>VÄSTRA GÖTALANDS LÄN</t>
        </is>
      </c>
      <c r="E12" t="inlineStr">
        <is>
          <t>LYSEKIL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36524-2019</t>
        </is>
      </c>
      <c r="B13" s="1" t="n">
        <v>43668</v>
      </c>
      <c r="C13" s="1" t="n">
        <v>45877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39250-2019</t>
        </is>
      </c>
      <c r="B14" s="1" t="n">
        <v>43690</v>
      </c>
      <c r="C14" s="1" t="n">
        <v>45877</v>
      </c>
      <c r="D14" t="inlineStr">
        <is>
          <t>VÄSTRA GÖTALANDS LÄN</t>
        </is>
      </c>
      <c r="E14" t="inlineStr">
        <is>
          <t>LYSEKIL</t>
        </is>
      </c>
      <c r="G14" t="n">
        <v>9.199999999999999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40971-2019</t>
        </is>
      </c>
      <c r="B15" s="1" t="n">
        <v>43697</v>
      </c>
      <c r="C15" s="1" t="n">
        <v>45877</v>
      </c>
      <c r="D15" t="inlineStr">
        <is>
          <t>VÄSTRA GÖTALANDS LÄN</t>
        </is>
      </c>
      <c r="E15" t="inlineStr">
        <is>
          <t>LYSEKIL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40983-2019</t>
        </is>
      </c>
      <c r="B16" s="1" t="n">
        <v>43697</v>
      </c>
      <c r="C16" s="1" t="n">
        <v>45877</v>
      </c>
      <c r="D16" t="inlineStr">
        <is>
          <t>VÄSTRA GÖTALANDS LÄN</t>
        </is>
      </c>
      <c r="E16" t="inlineStr">
        <is>
          <t>LYSEKIL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46402-2019</t>
        </is>
      </c>
      <c r="B17" s="1" t="n">
        <v>43714</v>
      </c>
      <c r="C17" s="1" t="n">
        <v>45877</v>
      </c>
      <c r="D17" t="inlineStr">
        <is>
          <t>VÄSTRA GÖTALANDS LÄN</t>
        </is>
      </c>
      <c r="E17" t="inlineStr">
        <is>
          <t>LYSEKIL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46715-2019</t>
        </is>
      </c>
      <c r="B18" s="1" t="n">
        <v>43719</v>
      </c>
      <c r="C18" s="1" t="n">
        <v>45877</v>
      </c>
      <c r="D18" t="inlineStr">
        <is>
          <t>VÄSTRA GÖTALANDS LÄN</t>
        </is>
      </c>
      <c r="E18" t="inlineStr">
        <is>
          <t>LYSEKIL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55149-2019</t>
        </is>
      </c>
      <c r="B19" s="1" t="n">
        <v>43752</v>
      </c>
      <c r="C19" s="1" t="n">
        <v>45877</v>
      </c>
      <c r="D19" t="inlineStr">
        <is>
          <t>VÄSTRA GÖTALANDS LÄN</t>
        </is>
      </c>
      <c r="E19" t="inlineStr">
        <is>
          <t>LYSEKIL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60286-2019</t>
        </is>
      </c>
      <c r="B20" s="1" t="n">
        <v>43776</v>
      </c>
      <c r="C20" s="1" t="n">
        <v>45877</v>
      </c>
      <c r="D20" t="inlineStr">
        <is>
          <t>VÄSTRA GÖTALANDS LÄN</t>
        </is>
      </c>
      <c r="E20" t="inlineStr">
        <is>
          <t>LYSEKIL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11864-2020</t>
        </is>
      </c>
      <c r="B21" s="1" t="n">
        <v>43894</v>
      </c>
      <c r="C21" s="1" t="n">
        <v>45877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15807-2020</t>
        </is>
      </c>
      <c r="B22" s="1" t="n">
        <v>43915</v>
      </c>
      <c r="C22" s="1" t="n">
        <v>45877</v>
      </c>
      <c r="D22" t="inlineStr">
        <is>
          <t>VÄSTRA GÖTALANDS LÄN</t>
        </is>
      </c>
      <c r="E22" t="inlineStr">
        <is>
          <t>LYSEKIL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19018-2020</t>
        </is>
      </c>
      <c r="B23" s="1" t="n">
        <v>43936</v>
      </c>
      <c r="C23" s="1" t="n">
        <v>45877</v>
      </c>
      <c r="D23" t="inlineStr">
        <is>
          <t>VÄSTRA GÖTALANDS LÄN</t>
        </is>
      </c>
      <c r="E23" t="inlineStr">
        <is>
          <t>LYSEKIL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39550-2020</t>
        </is>
      </c>
      <c r="B24" s="1" t="n">
        <v>44064</v>
      </c>
      <c r="C24" s="1" t="n">
        <v>45877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39555-2020</t>
        </is>
      </c>
      <c r="B25" s="1" t="n">
        <v>44064</v>
      </c>
      <c r="C25" s="1" t="n">
        <v>45877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45795-2020</t>
        </is>
      </c>
      <c r="B26" s="1" t="n">
        <v>44090</v>
      </c>
      <c r="C26" s="1" t="n">
        <v>45877</v>
      </c>
      <c r="D26" t="inlineStr">
        <is>
          <t>VÄSTRA GÖTALANDS LÄN</t>
        </is>
      </c>
      <c r="E26" t="inlineStr">
        <is>
          <t>LYSEKIL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50940-2020</t>
        </is>
      </c>
      <c r="B27" s="1" t="n">
        <v>44111</v>
      </c>
      <c r="C27" s="1" t="n">
        <v>45877</v>
      </c>
      <c r="D27" t="inlineStr">
        <is>
          <t>VÄSTRA GÖTALANDS LÄN</t>
        </is>
      </c>
      <c r="E27" t="inlineStr">
        <is>
          <t>LYSEKIL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52219-2020</t>
        </is>
      </c>
      <c r="B28" s="1" t="n">
        <v>44117</v>
      </c>
      <c r="C28" s="1" t="n">
        <v>45877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58478-2020</t>
        </is>
      </c>
      <c r="B29" s="1" t="n">
        <v>44145</v>
      </c>
      <c r="C29" s="1" t="n">
        <v>45877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45877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62409-2020</t>
        </is>
      </c>
      <c r="B31" s="1" t="n">
        <v>44160</v>
      </c>
      <c r="C31" s="1" t="n">
        <v>45877</v>
      </c>
      <c r="D31" t="inlineStr">
        <is>
          <t>VÄSTRA GÖTALANDS LÄN</t>
        </is>
      </c>
      <c r="E31" t="inlineStr">
        <is>
          <t>LYSEKIL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63807-2020</t>
        </is>
      </c>
      <c r="B32" s="1" t="n">
        <v>44164</v>
      </c>
      <c r="C32" s="1" t="n">
        <v>45877</v>
      </c>
      <c r="D32" t="inlineStr">
        <is>
          <t>VÄSTRA GÖTALANDS LÄN</t>
        </is>
      </c>
      <c r="E32" t="inlineStr">
        <is>
          <t>LYSEKIL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63823-2020</t>
        </is>
      </c>
      <c r="B33" s="1" t="n">
        <v>44164</v>
      </c>
      <c r="C33" s="1" t="n">
        <v>45877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10578-2021</t>
        </is>
      </c>
      <c r="B34" s="1" t="n">
        <v>44258</v>
      </c>
      <c r="C34" s="1" t="n">
        <v>45877</v>
      </c>
      <c r="D34" t="inlineStr">
        <is>
          <t>VÄSTRA GÖTALANDS LÄN</t>
        </is>
      </c>
      <c r="E34" t="inlineStr">
        <is>
          <t>LYSEKIL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10574-2021</t>
        </is>
      </c>
      <c r="B35" s="1" t="n">
        <v>44258</v>
      </c>
      <c r="C35" s="1" t="n">
        <v>45877</v>
      </c>
      <c r="D35" t="inlineStr">
        <is>
          <t>VÄSTRA GÖTALANDS LÄN</t>
        </is>
      </c>
      <c r="E35" t="inlineStr">
        <is>
          <t>LYSEKIL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23365-2021</t>
        </is>
      </c>
      <c r="B36" s="1" t="n">
        <v>44333</v>
      </c>
      <c r="C36" s="1" t="n">
        <v>45877</v>
      </c>
      <c r="D36" t="inlineStr">
        <is>
          <t>VÄSTRA GÖTALANDS LÄN</t>
        </is>
      </c>
      <c r="E36" t="inlineStr">
        <is>
          <t>LYSEKIL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25657-2021</t>
        </is>
      </c>
      <c r="B37" s="1" t="n">
        <v>44343</v>
      </c>
      <c r="C37" s="1" t="n">
        <v>45877</v>
      </c>
      <c r="D37" t="inlineStr">
        <is>
          <t>VÄSTRA GÖTALANDS LÄN</t>
        </is>
      </c>
      <c r="E37" t="inlineStr">
        <is>
          <t>LYSEKIL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39065-2021</t>
        </is>
      </c>
      <c r="B38" s="1" t="n">
        <v>44411</v>
      </c>
      <c r="C38" s="1" t="n">
        <v>45877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44466-2021</t>
        </is>
      </c>
      <c r="B39" s="1" t="n">
        <v>44435</v>
      </c>
      <c r="C39" s="1" t="n">
        <v>45877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54313-2021</t>
        </is>
      </c>
      <c r="B40" s="1" t="n">
        <v>44472</v>
      </c>
      <c r="C40" s="1" t="n">
        <v>45877</v>
      </c>
      <c r="D40" t="inlineStr">
        <is>
          <t>VÄSTRA GÖTALANDS LÄN</t>
        </is>
      </c>
      <c r="E40" t="inlineStr">
        <is>
          <t>LYSEKIL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54489-2021</t>
        </is>
      </c>
      <c r="B41" s="1" t="n">
        <v>44473</v>
      </c>
      <c r="C41" s="1" t="n">
        <v>45877</v>
      </c>
      <c r="D41" t="inlineStr">
        <is>
          <t>VÄSTRA GÖTALANDS LÄN</t>
        </is>
      </c>
      <c r="E41" t="inlineStr">
        <is>
          <t>LYSEKIL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55213-2021</t>
        </is>
      </c>
      <c r="B42" s="1" t="n">
        <v>44475</v>
      </c>
      <c r="C42" s="1" t="n">
        <v>45877</v>
      </c>
      <c r="D42" t="inlineStr">
        <is>
          <t>VÄSTRA GÖTALANDS LÄN</t>
        </is>
      </c>
      <c r="E42" t="inlineStr">
        <is>
          <t>LYSEKIL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60972-2021</t>
        </is>
      </c>
      <c r="B43" s="1" t="n">
        <v>44497</v>
      </c>
      <c r="C43" s="1" t="n">
        <v>45877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60969-2021</t>
        </is>
      </c>
      <c r="B44" s="1" t="n">
        <v>44497</v>
      </c>
      <c r="C44" s="1" t="n">
        <v>45877</v>
      </c>
      <c r="D44" t="inlineStr">
        <is>
          <t>VÄSTRA GÖTALANDS LÄN</t>
        </is>
      </c>
      <c r="E44" t="inlineStr">
        <is>
          <t>LYSEKIL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61212-2021</t>
        </is>
      </c>
      <c r="B45" s="1" t="n">
        <v>44498</v>
      </c>
      <c r="C45" s="1" t="n">
        <v>45877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61933-2021</t>
        </is>
      </c>
      <c r="B46" s="1" t="n">
        <v>44502</v>
      </c>
      <c r="C46" s="1" t="n">
        <v>45877</v>
      </c>
      <c r="D46" t="inlineStr">
        <is>
          <t>VÄSTRA GÖTALANDS LÄN</t>
        </is>
      </c>
      <c r="E46" t="inlineStr">
        <is>
          <t>LYSEKIL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68739-2021</t>
        </is>
      </c>
      <c r="B47" s="1" t="n">
        <v>44529</v>
      </c>
      <c r="C47" s="1" t="n">
        <v>45877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5311-2022</t>
        </is>
      </c>
      <c r="B48" s="1" t="n">
        <v>44594</v>
      </c>
      <c r="C48" s="1" t="n">
        <v>45877</v>
      </c>
      <c r="D48" t="inlineStr">
        <is>
          <t>VÄSTRA GÖTALANDS LÄN</t>
        </is>
      </c>
      <c r="E48" t="inlineStr">
        <is>
          <t>LYSEKIL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22482-2022</t>
        </is>
      </c>
      <c r="B49" s="1" t="n">
        <v>44713</v>
      </c>
      <c r="C49" s="1" t="n">
        <v>45877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28159-2022</t>
        </is>
      </c>
      <c r="B50" s="1" t="n">
        <v>44746</v>
      </c>
      <c r="C50" s="1" t="n">
        <v>45877</v>
      </c>
      <c r="D50" t="inlineStr">
        <is>
          <t>VÄSTRA GÖTALANDS LÄN</t>
        </is>
      </c>
      <c r="E50" t="inlineStr">
        <is>
          <t>LYSEKIL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47304-2022</t>
        </is>
      </c>
      <c r="B51" s="1" t="n">
        <v>44853</v>
      </c>
      <c r="C51" s="1" t="n">
        <v>45877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51128-2022</t>
        </is>
      </c>
      <c r="B52" s="1" t="n">
        <v>44868</v>
      </c>
      <c r="C52" s="1" t="n">
        <v>45877</v>
      </c>
      <c r="D52" t="inlineStr">
        <is>
          <t>VÄSTRA GÖTALANDS LÄN</t>
        </is>
      </c>
      <c r="E52" t="inlineStr">
        <is>
          <t>LYSEKIL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54740-2022</t>
        </is>
      </c>
      <c r="B53" s="1" t="n">
        <v>44883</v>
      </c>
      <c r="C53" s="1" t="n">
        <v>45877</v>
      </c>
      <c r="D53" t="inlineStr">
        <is>
          <t>VÄSTRA GÖTALANDS LÄN</t>
        </is>
      </c>
      <c r="E53" t="inlineStr">
        <is>
          <t>LYSEKIL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59223-2022</t>
        </is>
      </c>
      <c r="B54" s="1" t="n">
        <v>44899</v>
      </c>
      <c r="C54" s="1" t="n">
        <v>45877</v>
      </c>
      <c r="D54" t="inlineStr">
        <is>
          <t>VÄSTRA GÖTALANDS LÄN</t>
        </is>
      </c>
      <c r="E54" t="inlineStr">
        <is>
          <t>LYSEKIL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58793-2022</t>
        </is>
      </c>
      <c r="B55" s="1" t="n">
        <v>44903</v>
      </c>
      <c r="C55" s="1" t="n">
        <v>45877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58789-2022</t>
        </is>
      </c>
      <c r="B56" s="1" t="n">
        <v>44903</v>
      </c>
      <c r="C56" s="1" t="n">
        <v>45877</v>
      </c>
      <c r="D56" t="inlineStr">
        <is>
          <t>VÄSTRA GÖTALANDS LÄN</t>
        </is>
      </c>
      <c r="E56" t="inlineStr">
        <is>
          <t>LYSEKIL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58794-2022</t>
        </is>
      </c>
      <c r="B57" s="1" t="n">
        <v>44903</v>
      </c>
      <c r="C57" s="1" t="n">
        <v>45877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61102-2022</t>
        </is>
      </c>
      <c r="B58" s="1" t="n">
        <v>44915</v>
      </c>
      <c r="C58" s="1" t="n">
        <v>45877</v>
      </c>
      <c r="D58" t="inlineStr">
        <is>
          <t>VÄSTRA GÖTALANDS LÄN</t>
        </is>
      </c>
      <c r="E58" t="inlineStr">
        <is>
          <t>LYSEKIL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45877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45877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45877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45877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45877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45877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45877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45877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45877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45877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</v>
      </c>
      <c r="C69" s="1" t="n">
        <v>45877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</v>
      </c>
      <c r="C70" s="1" t="n">
        <v>45877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37123-2023</t>
        </is>
      </c>
      <c r="B71" s="1" t="n">
        <v>45155</v>
      </c>
      <c r="C71" s="1" t="n">
        <v>45877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45877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39084-2023</t>
        </is>
      </c>
      <c r="B73" s="1" t="n">
        <v>45164</v>
      </c>
      <c r="C73" s="1" t="n">
        <v>45877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</v>
      </c>
      <c r="C74" s="1" t="n">
        <v>45877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41581-2023</t>
        </is>
      </c>
      <c r="B75" s="1" t="n">
        <v>45173</v>
      </c>
      <c r="C75" s="1" t="n">
        <v>45877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43028-2023</t>
        </is>
      </c>
      <c r="B76" s="1" t="n">
        <v>45182</v>
      </c>
      <c r="C76" s="1" t="n">
        <v>45877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44146-2023</t>
        </is>
      </c>
      <c r="B77" s="1" t="n">
        <v>45188</v>
      </c>
      <c r="C77" s="1" t="n">
        <v>45877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48103-2023</t>
        </is>
      </c>
      <c r="B78" s="1" t="n">
        <v>45205</v>
      </c>
      <c r="C78" s="1" t="n">
        <v>45877</v>
      </c>
      <c r="D78" t="inlineStr">
        <is>
          <t>VÄSTRA GÖTALANDS LÄN</t>
        </is>
      </c>
      <c r="E78" t="inlineStr">
        <is>
          <t>LYSEKIL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49368-2023</t>
        </is>
      </c>
      <c r="B79" s="1" t="n">
        <v>45211</v>
      </c>
      <c r="C79" s="1" t="n">
        <v>45877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50343-2023</t>
        </is>
      </c>
      <c r="B80" s="1" t="n">
        <v>45216</v>
      </c>
      <c r="C80" s="1" t="n">
        <v>45877</v>
      </c>
      <c r="D80" t="inlineStr">
        <is>
          <t>VÄSTRA GÖTALANDS LÄN</t>
        </is>
      </c>
      <c r="E80" t="inlineStr">
        <is>
          <t>LYSEKIL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53423-2023</t>
        </is>
      </c>
      <c r="B81" s="1" t="n">
        <v>45229</v>
      </c>
      <c r="C81" s="1" t="n">
        <v>45877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62468-2023</t>
        </is>
      </c>
      <c r="B82" s="1" t="n">
        <v>45268</v>
      </c>
      <c r="C82" s="1" t="n">
        <v>45877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63886-2023</t>
        </is>
      </c>
      <c r="B83" s="1" t="n">
        <v>45278</v>
      </c>
      <c r="C83" s="1" t="n">
        <v>45877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52-2024</t>
        </is>
      </c>
      <c r="B84" s="1" t="n">
        <v>45293</v>
      </c>
      <c r="C84" s="1" t="n">
        <v>45877</v>
      </c>
      <c r="D84" t="inlineStr">
        <is>
          <t>VÄSTRA GÖTALANDS LÄN</t>
        </is>
      </c>
      <c r="E84" t="inlineStr">
        <is>
          <t>LYSEKIL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3408-2024</t>
        </is>
      </c>
      <c r="B85" s="1" t="n">
        <v>45319</v>
      </c>
      <c r="C85" s="1" t="n">
        <v>45877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10579-2024</t>
        </is>
      </c>
      <c r="B86" s="1" t="n">
        <v>45366</v>
      </c>
      <c r="C86" s="1" t="n">
        <v>45877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13246-2024</t>
        </is>
      </c>
      <c r="B87" s="1" t="n">
        <v>45386</v>
      </c>
      <c r="C87" s="1" t="n">
        <v>45877</v>
      </c>
      <c r="D87" t="inlineStr">
        <is>
          <t>VÄSTRA GÖTALANDS LÄN</t>
        </is>
      </c>
      <c r="E87" t="inlineStr">
        <is>
          <t>LYSEKIL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13250-2024</t>
        </is>
      </c>
      <c r="B88" s="1" t="n">
        <v>45386</v>
      </c>
      <c r="C88" s="1" t="n">
        <v>45877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</v>
      </c>
      <c r="C89" s="1" t="n">
        <v>45877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13243-2024</t>
        </is>
      </c>
      <c r="B90" s="1" t="n">
        <v>45386</v>
      </c>
      <c r="C90" s="1" t="n">
        <v>45877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20166-2024</t>
        </is>
      </c>
      <c r="B91" s="1" t="n">
        <v>45434</v>
      </c>
      <c r="C91" s="1" t="n">
        <v>45877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20683-2024</t>
        </is>
      </c>
      <c r="B92" s="1" t="n">
        <v>45436</v>
      </c>
      <c r="C92" s="1" t="n">
        <v>45877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</v>
      </c>
      <c r="C93" s="1" t="n">
        <v>45877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20685-2024</t>
        </is>
      </c>
      <c r="B94" s="1" t="n">
        <v>45436</v>
      </c>
      <c r="C94" s="1" t="n">
        <v>45877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26357-2024</t>
        </is>
      </c>
      <c r="B95" s="1" t="n">
        <v>45469</v>
      </c>
      <c r="C95" s="1" t="n">
        <v>45877</v>
      </c>
      <c r="D95" t="inlineStr">
        <is>
          <t>VÄSTRA GÖTALANDS LÄN</t>
        </is>
      </c>
      <c r="E95" t="inlineStr">
        <is>
          <t>LYSEKIL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31132-2024</t>
        </is>
      </c>
      <c r="B96" s="1" t="n">
        <v>45502</v>
      </c>
      <c r="C96" s="1" t="n">
        <v>45877</v>
      </c>
      <c r="D96" t="inlineStr">
        <is>
          <t>VÄSTRA GÖTALANDS LÄN</t>
        </is>
      </c>
      <c r="E96" t="inlineStr">
        <is>
          <t>LYSEKIL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37546-2024</t>
        </is>
      </c>
      <c r="B97" s="1" t="n">
        <v>45541</v>
      </c>
      <c r="C97" s="1" t="n">
        <v>45877</v>
      </c>
      <c r="D97" t="inlineStr">
        <is>
          <t>VÄSTRA GÖTALANDS LÄN</t>
        </is>
      </c>
      <c r="E97" t="inlineStr">
        <is>
          <t>LYSEKIL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</v>
      </c>
      <c r="C98" s="1" t="n">
        <v>45877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44536-2024</t>
        </is>
      </c>
      <c r="B99" s="1" t="n">
        <v>45574</v>
      </c>
      <c r="C99" s="1" t="n">
        <v>45877</v>
      </c>
      <c r="D99" t="inlineStr">
        <is>
          <t>VÄSTRA GÖTALANDS LÄN</t>
        </is>
      </c>
      <c r="E99" t="inlineStr">
        <is>
          <t>LYSEKIL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48403-2024</t>
        </is>
      </c>
      <c r="B100" s="1" t="n">
        <v>45590</v>
      </c>
      <c r="C100" s="1" t="n">
        <v>45877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58619-2024</t>
        </is>
      </c>
      <c r="B101" s="1" t="n">
        <v>45635</v>
      </c>
      <c r="C101" s="1" t="n">
        <v>45877</v>
      </c>
      <c r="D101" t="inlineStr">
        <is>
          <t>VÄSTRA GÖTALANDS LÄN</t>
        </is>
      </c>
      <c r="E101" t="inlineStr">
        <is>
          <t>LYSEKIL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58613-2024</t>
        </is>
      </c>
      <c r="B102" s="1" t="n">
        <v>45635</v>
      </c>
      <c r="C102" s="1" t="n">
        <v>45877</v>
      </c>
      <c r="D102" t="inlineStr">
        <is>
          <t>VÄSTRA GÖTALANDS LÄN</t>
        </is>
      </c>
      <c r="E102" t="inlineStr">
        <is>
          <t>LYSEKIL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45877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60262-2024</t>
        </is>
      </c>
      <c r="B104" s="1" t="n">
        <v>45642</v>
      </c>
      <c r="C104" s="1" t="n">
        <v>45877</v>
      </c>
      <c r="D104" t="inlineStr">
        <is>
          <t>VÄSTRA GÖTALANDS LÄN</t>
        </is>
      </c>
      <c r="E104" t="inlineStr">
        <is>
          <t>LYSEKIL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60265-2024</t>
        </is>
      </c>
      <c r="B105" s="1" t="n">
        <v>45642</v>
      </c>
      <c r="C105" s="1" t="n">
        <v>45877</v>
      </c>
      <c r="D105" t="inlineStr">
        <is>
          <t>VÄSTRA GÖTALANDS LÄN</t>
        </is>
      </c>
      <c r="E105" t="inlineStr">
        <is>
          <t>LYSEKIL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61991-2024</t>
        </is>
      </c>
      <c r="B106" s="1" t="n">
        <v>45653</v>
      </c>
      <c r="C106" s="1" t="n">
        <v>45877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61985-2024</t>
        </is>
      </c>
      <c r="B107" s="1" t="n">
        <v>45653</v>
      </c>
      <c r="C107" s="1" t="n">
        <v>45877</v>
      </c>
      <c r="D107" t="inlineStr">
        <is>
          <t>VÄSTRA GÖTALANDS LÄN</t>
        </is>
      </c>
      <c r="E107" t="inlineStr">
        <is>
          <t>LYSEKIL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409-2025</t>
        </is>
      </c>
      <c r="B108" s="1" t="n">
        <v>45663</v>
      </c>
      <c r="C108" s="1" t="n">
        <v>45877</v>
      </c>
      <c r="D108" t="inlineStr">
        <is>
          <t>VÄSTRA GÖTALANDS LÄN</t>
        </is>
      </c>
      <c r="E108" t="inlineStr">
        <is>
          <t>LYSEKIL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45877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2053-2025</t>
        </is>
      </c>
      <c r="B110" s="1" t="n">
        <v>45671</v>
      </c>
      <c r="C110" s="1" t="n">
        <v>45877</v>
      </c>
      <c r="D110" t="inlineStr">
        <is>
          <t>VÄSTRA GÖTALANDS LÄN</t>
        </is>
      </c>
      <c r="E110" t="inlineStr">
        <is>
          <t>LYSEKIL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2122-2025</t>
        </is>
      </c>
      <c r="B111" s="1" t="n">
        <v>45672</v>
      </c>
      <c r="C111" s="1" t="n">
        <v>45877</v>
      </c>
      <c r="D111" t="inlineStr">
        <is>
          <t>VÄSTRA GÖTALANDS LÄN</t>
        </is>
      </c>
      <c r="E111" t="inlineStr">
        <is>
          <t>LYSEKIL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2269-2025</t>
        </is>
      </c>
      <c r="B112" s="1" t="n">
        <v>45673</v>
      </c>
      <c r="C112" s="1" t="n">
        <v>45877</v>
      </c>
      <c r="D112" t="inlineStr">
        <is>
          <t>VÄSTRA GÖTALANDS LÄN</t>
        </is>
      </c>
      <c r="E112" t="inlineStr">
        <is>
          <t>LYSEKIL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45877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45877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6491-2025</t>
        </is>
      </c>
      <c r="B115" s="1" t="n">
        <v>45699</v>
      </c>
      <c r="C115" s="1" t="n">
        <v>45877</v>
      </c>
      <c r="D115" t="inlineStr">
        <is>
          <t>VÄSTRA GÖTALANDS LÄN</t>
        </is>
      </c>
      <c r="E115" t="inlineStr">
        <is>
          <t>LYSEKIL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7149-2025</t>
        </is>
      </c>
      <c r="B116" s="1" t="n">
        <v>45702</v>
      </c>
      <c r="C116" s="1" t="n">
        <v>45877</v>
      </c>
      <c r="D116" t="inlineStr">
        <is>
          <t>VÄSTRA GÖTALANDS LÄN</t>
        </is>
      </c>
      <c r="E116" t="inlineStr">
        <is>
          <t>LYSEKIL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45877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18142-2025</t>
        </is>
      </c>
      <c r="B118" s="1" t="n">
        <v>45761</v>
      </c>
      <c r="C118" s="1" t="n">
        <v>45877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18143-2025</t>
        </is>
      </c>
      <c r="B119" s="1" t="n">
        <v>45761</v>
      </c>
      <c r="C119" s="1" t="n">
        <v>45877</v>
      </c>
      <c r="D119" t="inlineStr">
        <is>
          <t>VÄSTRA GÖTALANDS LÄN</t>
        </is>
      </c>
      <c r="E119" t="inlineStr">
        <is>
          <t>LYSEKIL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22658-2025</t>
        </is>
      </c>
      <c r="B120" s="1" t="n">
        <v>45789</v>
      </c>
      <c r="C120" s="1" t="n">
        <v>45877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22605-2025</t>
        </is>
      </c>
      <c r="B121" s="1" t="n">
        <v>45789</v>
      </c>
      <c r="C121" s="1" t="n">
        <v>45877</v>
      </c>
      <c r="D121" t="inlineStr">
        <is>
          <t>VÄSTRA GÖTALANDS LÄN</t>
        </is>
      </c>
      <c r="E121" t="inlineStr">
        <is>
          <t>LYSEKIL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25395-2025</t>
        </is>
      </c>
      <c r="B122" s="1" t="n">
        <v>45800</v>
      </c>
      <c r="C122" s="1" t="n">
        <v>45877</v>
      </c>
      <c r="D122" t="inlineStr">
        <is>
          <t>VÄSTRA GÖTALANDS LÄN</t>
        </is>
      </c>
      <c r="E122" t="inlineStr">
        <is>
          <t>LYSEKIL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34623-2025</t>
        </is>
      </c>
      <c r="B123" s="1" t="n">
        <v>45847</v>
      </c>
      <c r="C123" s="1" t="n">
        <v>45877</v>
      </c>
      <c r="D123" t="inlineStr">
        <is>
          <t>VÄSTRA GÖTALANDS LÄN</t>
        </is>
      </c>
      <c r="E123" t="inlineStr">
        <is>
          <t>LYSEKIL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35135-2025</t>
        </is>
      </c>
      <c r="B124" s="1" t="n">
        <v>45852</v>
      </c>
      <c r="C124" s="1" t="n">
        <v>45877</v>
      </c>
      <c r="D124" t="inlineStr">
        <is>
          <t>VÄSTRA GÖTALANDS LÄN</t>
        </is>
      </c>
      <c r="E124" t="inlineStr">
        <is>
          <t>LYSEKIL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35139-2025</t>
        </is>
      </c>
      <c r="B125" s="1" t="n">
        <v>45852</v>
      </c>
      <c r="C125" s="1" t="n">
        <v>45877</v>
      </c>
      <c r="D125" t="inlineStr">
        <is>
          <t>VÄSTRA GÖTALANDS LÄN</t>
        </is>
      </c>
      <c r="E125" t="inlineStr">
        <is>
          <t>LYSEKIL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35144-2025</t>
        </is>
      </c>
      <c r="B126" s="1" t="n">
        <v>45852</v>
      </c>
      <c r="C126" s="1" t="n">
        <v>45877</v>
      </c>
      <c r="D126" t="inlineStr">
        <is>
          <t>VÄSTRA GÖTALANDS LÄN</t>
        </is>
      </c>
      <c r="E126" t="inlineStr">
        <is>
          <t>LYSEKIL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35640-2025</t>
        </is>
      </c>
      <c r="B127" s="1" t="n">
        <v>45859</v>
      </c>
      <c r="C127" s="1" t="n">
        <v>45877</v>
      </c>
      <c r="D127" t="inlineStr">
        <is>
          <t>VÄSTRA GÖTALANDS LÄN</t>
        </is>
      </c>
      <c r="E127" t="inlineStr">
        <is>
          <t>LYSEKIL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2025-08-09T01:06:04Z</dcterms:created>
  <dcterms:modified xmlns:dcterms="http://purl.org/dc/terms/" xmlns:xsi="http://www.w3.org/2001/XMLSchema-instance" xsi:type="dcterms:W3CDTF">2025-08-09T01:06:04Z</dcterms:modified>
</cp:coreProperties>
</file>